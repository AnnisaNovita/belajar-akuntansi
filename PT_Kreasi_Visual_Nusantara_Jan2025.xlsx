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.vscode\belajar akuntansi\latihan\"/>
    </mc:Choice>
  </mc:AlternateContent>
  <xr:revisionPtr revIDLastSave="0" documentId="8_{1983CD83-45FB-4FCB-B733-0C2E24D1A4B8}" xr6:coauthVersionLast="47" xr6:coauthVersionMax="47" xr10:uidLastSave="{00000000-0000-0000-0000-000000000000}"/>
  <bookViews>
    <workbookView xWindow="-110" yWindow="-110" windowWidth="19420" windowHeight="10300" firstSheet="8" activeTab="10" xr2:uid="{00000000-000D-0000-FFFF-FFFF00000000}"/>
  </bookViews>
  <sheets>
    <sheet name="PETUNJUK" sheetId="1" r:id="rId1"/>
    <sheet name="0. Profil Perusahaan" sheetId="2" r:id="rId2"/>
    <sheet name="1. Kode Akun" sheetId="3" r:id="rId3"/>
    <sheet name="2. Neraca Saldo Awal" sheetId="4" r:id="rId4"/>
    <sheet name="3. Jurnal Umum Jan 2025" sheetId="5" r:id="rId5"/>
    <sheet name="4. Jurnal Penyesuaian Jan" sheetId="6" r:id="rId6"/>
    <sheet name="5. Neraca Saldo Sblm Penyesuaia" sheetId="7" r:id="rId7"/>
    <sheet name="6. Template Buku Besar" sheetId="8" r:id="rId8"/>
    <sheet name="7. Neraca Lajur Jan 2025" sheetId="9" r:id="rId9"/>
    <sheet name="8. Laporan L-R Jan 2025" sheetId="10" r:id="rId10"/>
    <sheet name="9. Neraca Jan 2025" sheetId="11" r:id="rId11"/>
  </sheets>
  <calcPr calcId="19102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1" i="9" l="1"/>
  <c r="K61" i="9"/>
  <c r="J61" i="9"/>
  <c r="I61" i="9"/>
  <c r="H61" i="9"/>
  <c r="G61" i="9"/>
  <c r="F61" i="9"/>
  <c r="E61" i="9"/>
  <c r="D61" i="9"/>
  <c r="C61" i="9"/>
  <c r="F73" i="8"/>
  <c r="F74" i="8" s="1"/>
  <c r="F75" i="8" s="1"/>
  <c r="F76" i="8" s="1"/>
  <c r="F77" i="8" s="1"/>
  <c r="F78" i="8" s="1"/>
  <c r="F79" i="8" s="1"/>
  <c r="F80" i="8" s="1"/>
  <c r="F81" i="8" s="1"/>
  <c r="F61" i="8"/>
  <c r="F62" i="8" s="1"/>
  <c r="F63" i="8" s="1"/>
  <c r="F64" i="8" s="1"/>
  <c r="F65" i="8" s="1"/>
  <c r="F66" i="8" s="1"/>
  <c r="F67" i="8" s="1"/>
  <c r="F68" i="8" s="1"/>
  <c r="F60" i="8"/>
  <c r="F49" i="8"/>
  <c r="F50" i="8" s="1"/>
  <c r="F51" i="8" s="1"/>
  <c r="F52" i="8" s="1"/>
  <c r="F53" i="8" s="1"/>
  <c r="F54" i="8" s="1"/>
  <c r="F55" i="8" s="1"/>
  <c r="F48" i="8"/>
  <c r="F47" i="8"/>
  <c r="F34" i="8"/>
  <c r="F35" i="8" s="1"/>
  <c r="F36" i="8" s="1"/>
  <c r="F37" i="8" s="1"/>
  <c r="F38" i="8" s="1"/>
  <c r="F39" i="8" s="1"/>
  <c r="F40" i="8" s="1"/>
  <c r="F41" i="8" s="1"/>
  <c r="F42" i="8" s="1"/>
  <c r="F21" i="8"/>
  <c r="F22" i="8" s="1"/>
  <c r="F23" i="8" s="1"/>
  <c r="F24" i="8" s="1"/>
  <c r="F25" i="8" s="1"/>
  <c r="F26" i="8" s="1"/>
  <c r="F27" i="8" s="1"/>
  <c r="F28" i="8" s="1"/>
  <c r="F29" i="8" s="1"/>
  <c r="F9" i="8"/>
  <c r="F10" i="8" s="1"/>
  <c r="F11" i="8" s="1"/>
  <c r="F12" i="8" s="1"/>
  <c r="F13" i="8" s="1"/>
  <c r="F14" i="8" s="1"/>
  <c r="F15" i="8" s="1"/>
  <c r="F16" i="8" s="1"/>
  <c r="F8" i="8"/>
  <c r="D54" i="7"/>
  <c r="C54" i="7"/>
  <c r="C55" i="7" s="1"/>
  <c r="H42" i="6"/>
  <c r="G42" i="6"/>
  <c r="H118" i="5"/>
  <c r="G118" i="5"/>
  <c r="G119" i="5" s="1"/>
  <c r="D32" i="4"/>
  <c r="C32" i="4"/>
  <c r="C33" i="4" s="1"/>
  <c r="H51" i="2"/>
  <c r="G51" i="2"/>
  <c r="F51" i="2"/>
  <c r="E51" i="2"/>
  <c r="D51" i="2"/>
  <c r="E35" i="2"/>
  <c r="E34" i="2"/>
  <c r="E33" i="2"/>
  <c r="E32" i="2"/>
  <c r="E31" i="2"/>
  <c r="E30" i="2"/>
  <c r="C40" i="1"/>
  <c r="C39" i="1"/>
  <c r="C38" i="1"/>
  <c r="C37" i="1"/>
  <c r="C36" i="1"/>
  <c r="C35" i="1"/>
</calcChain>
</file>

<file path=xl/sharedStrings.xml><?xml version="1.0" encoding="utf-8"?>
<sst xmlns="http://schemas.openxmlformats.org/spreadsheetml/2006/main" count="1479" uniqueCount="668">
  <si>
    <t>PT KREASI VISUAL NUSANTARA</t>
  </si>
  <si>
    <t>PETUNJUK PENGGUNAAN FILE – SIKLUS AKUNTANSI 2025</t>
  </si>
  <si>
    <t>DAFTAR SHEET &amp; FUNGSINYA</t>
  </si>
  <si>
    <t>No.</t>
  </si>
  <si>
    <t>Nama Sheet</t>
  </si>
  <si>
    <t>Fungsi</t>
  </si>
  <si>
    <t>Keterangan</t>
  </si>
  <si>
    <t>PETUNJUK</t>
  </si>
  <si>
    <t>Petunjuk penggunaan &amp; indeks sheet (sheet ini)</t>
  </si>
  <si>
    <t>Baca pertama kali</t>
  </si>
  <si>
    <t>0. Profil Perusahaan</t>
  </si>
  <si>
    <t>Identitas, kebijakan akuntansi, daftar aset tetap, daftar karyawan &amp; gaji</t>
  </si>
  <si>
    <t>Data referensi – jangan diubah</t>
  </si>
  <si>
    <t>1. Kode Akun</t>
  </si>
  <si>
    <t>Chart of Accounts (COA) lengkap dengan kode, klasifikasi, dan saldo normal</t>
  </si>
  <si>
    <t>Referensi saat posting</t>
  </si>
  <si>
    <t>2. Neraca Saldo Awal</t>
  </si>
  <si>
    <t>Saldo awal semua akun per 1 Januari 2025</t>
  </si>
  <si>
    <t>Titik awal siklus akuntansi</t>
  </si>
  <si>
    <t>3. Jurnal Umum Jan 2025</t>
  </si>
  <si>
    <t>32 transaksi jurnal umum Januari 2025 lengkap dengan ref &amp; bukti</t>
  </si>
  <si>
    <t>INPUT: cek keseimbangan D=K</t>
  </si>
  <si>
    <t>4. Jurnal Penyesuaian Jan</t>
  </si>
  <si>
    <t>12 jurnal penyesuaian per 31 Januari 2025</t>
  </si>
  <si>
    <t>INPUT: setelah neraca saldo</t>
  </si>
  <si>
    <t>5. Neraca Saldo Sblm Penyesuaian</t>
  </si>
  <si>
    <t>Template neraca saldo sebelum penyesuaian (sel kuning = isi dari BB)</t>
  </si>
  <si>
    <t>INPUT: dari buku besar</t>
  </si>
  <si>
    <t>6. Template Buku Besar</t>
  </si>
  <si>
    <t>Template buku besar dengan format T-Account + formula saldo otomatis</t>
  </si>
  <si>
    <t>INPUT: posting dari jurnal</t>
  </si>
  <si>
    <t>7. Neraca Lajur Jan 2025</t>
  </si>
  <si>
    <t>Worksheet/neraca lajur 10 kolom (sel kuning = isi manual)</t>
  </si>
  <si>
    <t>INPUT: setelah semua selesai</t>
  </si>
  <si>
    <t>8. Laporan L-R Jan 2025</t>
  </si>
  <si>
    <t>Template laporan laba rugi Januari 2025</t>
  </si>
  <si>
    <t>INPUT: dari neraca lajur</t>
  </si>
  <si>
    <t>9. Neraca Jan 2025</t>
  </si>
  <si>
    <t>Template neraca per 31 Januari 2025</t>
  </si>
  <si>
    <t>URUTAN PENGERJAAN SIKLUS AKUNTANSI</t>
  </si>
  <si>
    <t>Step</t>
  </si>
  <si>
    <t>Sheet</t>
  </si>
  <si>
    <t>Yang Harus Dikerjakan</t>
  </si>
  <si>
    <t>1</t>
  </si>
  <si>
    <t>Baca Sheet 0</t>
  </si>
  <si>
    <t>Pahami profil perusahaan, kebijakan akuntansi, daftar aset &amp; karyawan</t>
  </si>
  <si>
    <t>2</t>
  </si>
  <si>
    <t>Baca Sheet 1</t>
  </si>
  <si>
    <t>Hafalkan kode akun COA – pakai sebagai referensi saat posting</t>
  </si>
  <si>
    <t>3</t>
  </si>
  <si>
    <t>Cek Sheet 2</t>
  </si>
  <si>
    <t>Verifikasi saldo awal 1 Jan 2025 (Total D = Total K)</t>
  </si>
  <si>
    <t>4</t>
  </si>
  <si>
    <t>Kerjakan Sheet 6</t>
  </si>
  <si>
    <t>Posting semua transaksi dari Jurnal Umum (Sheet 3) ke Buku Besar</t>
  </si>
  <si>
    <t>5</t>
  </si>
  <si>
    <t>Kerjakan Sheet 5</t>
  </si>
  <si>
    <t>Isi neraca saldo sebelum penyesuaian dari saldo akhir buku besar</t>
  </si>
  <si>
    <t>6</t>
  </si>
  <si>
    <t>Kerjakan Sheet 4</t>
  </si>
  <si>
    <t>Buat jurnal penyesuaian (sudah disediakan – cek perhitungannya)</t>
  </si>
  <si>
    <t>7</t>
  </si>
  <si>
    <t>Posting JP ke BB</t>
  </si>
  <si>
    <t>Kembali ke Sheet 6, posting jurnal penyesuaian ke buku besar</t>
  </si>
  <si>
    <t>8</t>
  </si>
  <si>
    <t>Kerjakan Sheet 7</t>
  </si>
  <si>
    <t>Isi neraca lajur 10 kolom (NS sblm JP, JP, NS setelah JP, L/R, Neraca)</t>
  </si>
  <si>
    <t>9</t>
  </si>
  <si>
    <t>Kerjakan Sheet 8</t>
  </si>
  <si>
    <t>Susun laporan laba rugi dari kolom L/R di neraca lajur</t>
  </si>
  <si>
    <t>10</t>
  </si>
  <si>
    <t>Kerjakan Sheet 9</t>
  </si>
  <si>
    <t>Susun neraca dari kolom Neraca di neraca lajur</t>
  </si>
  <si>
    <t>11</t>
  </si>
  <si>
    <t>Buat Jurnal Penutup</t>
  </si>
  <si>
    <t>Tutup semua akun nominal (tambahkan sheet baru)</t>
  </si>
  <si>
    <t>12</t>
  </si>
  <si>
    <t>Neraca Saldo Setelah Penutup</t>
  </si>
  <si>
    <t>Verifikasi saldo akhir setelah penutupan</t>
  </si>
  <si>
    <t>LEGENDA WARNA</t>
  </si>
  <si>
    <t>Sel Kuning</t>
  </si>
  <si>
    <t>Sel Hijau</t>
  </si>
  <si>
    <t>Biru Muda</t>
  </si>
  <si>
    <t>Biru Terang</t>
  </si>
  <si>
    <t>Navy Gelap</t>
  </si>
  <si>
    <t>Orange Muda</t>
  </si>
  <si>
    <t>BUKU BESAR &amp; LAPORAN KEUANGAN TAHUN 2025</t>
  </si>
  <si>
    <t>A. IDENTITAS PERUSAHAAN</t>
  </si>
  <si>
    <t>Nama Perusahaan</t>
  </si>
  <si>
    <t>PT Kreasi Visual Nusantara</t>
  </si>
  <si>
    <t>Bidang Usaha</t>
  </si>
  <si>
    <t>Jasa Desain Grafis &amp; Kreatif</t>
  </si>
  <si>
    <t>Bentuk Badan Hukum</t>
  </si>
  <si>
    <t>Perseroan Terbatas (PT)</t>
  </si>
  <si>
    <t>NPWP</t>
  </si>
  <si>
    <t>12.345.678.9-501.000</t>
  </si>
  <si>
    <t>NPPKP</t>
  </si>
  <si>
    <t>12.345.678.9-501.000 (PKP sejak 1 Jan 2024)</t>
  </si>
  <si>
    <t>Alamat</t>
  </si>
  <si>
    <t>Jl. Sudirman No. 88, Surabaya 60271</t>
  </si>
  <si>
    <t>Telepon / Email</t>
  </si>
  <si>
    <t>031-5551234 / admin@kreasivisual.id</t>
  </si>
  <si>
    <t>Tahun Buku</t>
  </si>
  <si>
    <t>1 Januari 2025 – 31 Desember 2025</t>
  </si>
  <si>
    <t>Mata Uang</t>
  </si>
  <si>
    <t>Rupiah (IDR)</t>
  </si>
  <si>
    <t>B. KEBIJAKAN AKUNTANSI</t>
  </si>
  <si>
    <t>Standar Akuntansi</t>
  </si>
  <si>
    <t>SAK EMKM (Efektif 1 Jan 2018)</t>
  </si>
  <si>
    <t>Sesuai IAI</t>
  </si>
  <si>
    <t>Dasar Pencatatan</t>
  </si>
  <si>
    <t>Akrual Basis (Accrual Basis)</t>
  </si>
  <si>
    <t>Periode Akuntansi</t>
  </si>
  <si>
    <t>Bulanan – laporan disusun tiap akhir bulan</t>
  </si>
  <si>
    <t>Metode Persediaan</t>
  </si>
  <si>
    <t>FIFO (First In First Out) – perlengkapan</t>
  </si>
  <si>
    <t>Metode Penyusutan</t>
  </si>
  <si>
    <t>Garis Lurus (Straight-Line Method)</t>
  </si>
  <si>
    <t>Kebijakan PPN</t>
  </si>
  <si>
    <t>PKP – tarif 11%, PPN disetor paling lambat tgl 15 bulan berikutnya</t>
  </si>
  <si>
    <t>Kebijakan PPh 21</t>
  </si>
  <si>
    <t>Dipotong dari gaji bruto, disetor paling lambat tgl 10 bulan berikutnya</t>
  </si>
  <si>
    <t>Kebijakan PPh Final</t>
  </si>
  <si>
    <t>PPh Final 4(2) atas sewa gedung 10%</t>
  </si>
  <si>
    <t>Piutang Tak Tertagih</t>
  </si>
  <si>
    <t>Metode Cadangan (Allowance Method) – 2% dari saldo piutang akhir bulan</t>
  </si>
  <si>
    <t>C. ASET TETAP &amp; PENYUSUTAN</t>
  </si>
  <si>
    <t>Nama Aset</t>
  </si>
  <si>
    <t>Harga Perolehan</t>
  </si>
  <si>
    <t>Nilai Residu</t>
  </si>
  <si>
    <t>Umur (Thn)</t>
  </si>
  <si>
    <t>Penyusutan/Bln</t>
  </si>
  <si>
    <t>Tanggal Perolehan</t>
  </si>
  <si>
    <t>Komputer &amp; Laptop (5 unit)</t>
  </si>
  <si>
    <t>01 Jan 2024</t>
  </si>
  <si>
    <t>Monitor Desain (5 unit)</t>
  </si>
  <si>
    <t>Printer &amp; Plotter (2 unit)</t>
  </si>
  <si>
    <t>Kendaraan Operasional (1 unit)</t>
  </si>
  <si>
    <t>01 Mar 2024</t>
  </si>
  <si>
    <t>Perabot &amp; Furnitur Kantor</t>
  </si>
  <si>
    <t>Peralatan Fotografi (set)</t>
  </si>
  <si>
    <t>01 Jun 2024</t>
  </si>
  <si>
    <t>D. DAFTAR KARYAWAN &amp; GAJI JANUARI 2025</t>
  </si>
  <si>
    <t>NIK</t>
  </si>
  <si>
    <t>Nama</t>
  </si>
  <si>
    <t>Jabatan</t>
  </si>
  <si>
    <t>Gaji Pokok</t>
  </si>
  <si>
    <t>Tunjangan</t>
  </si>
  <si>
    <t>Gaji Bruto</t>
  </si>
  <si>
    <t>PPh 21/bln</t>
  </si>
  <si>
    <t>Gaji Neto</t>
  </si>
  <si>
    <t>KVN-001</t>
  </si>
  <si>
    <t>Arif Wibowo</t>
  </si>
  <si>
    <t>Direktur Utama</t>
  </si>
  <si>
    <t>KVN-002</t>
  </si>
  <si>
    <t>Sari Dewi</t>
  </si>
  <si>
    <t>Manajer Kreatif</t>
  </si>
  <si>
    <t>KVN-003</t>
  </si>
  <si>
    <t>Budi Santoso</t>
  </si>
  <si>
    <t>Senior Designer</t>
  </si>
  <si>
    <t>KVN-004</t>
  </si>
  <si>
    <t>Lina Kusuma</t>
  </si>
  <si>
    <t>KVN-005</t>
  </si>
  <si>
    <t>Riko Pratama</t>
  </si>
  <si>
    <t>Junior Designer</t>
  </si>
  <si>
    <t>KVN-006</t>
  </si>
  <si>
    <t>Mega Putri</t>
  </si>
  <si>
    <t>KVN-007</t>
  </si>
  <si>
    <t>Dani Firmansyah</t>
  </si>
  <si>
    <t>KVN-008</t>
  </si>
  <si>
    <t>Eko Susanto</t>
  </si>
  <si>
    <t>Web Developer</t>
  </si>
  <si>
    <t>KVN-009</t>
  </si>
  <si>
    <t>Fitri Rahayu</t>
  </si>
  <si>
    <t>Copywriter</t>
  </si>
  <si>
    <t>KVN-010</t>
  </si>
  <si>
    <t>Galih Nugroho</t>
  </si>
  <si>
    <t>Fotografer</t>
  </si>
  <si>
    <t>KVN-011</t>
  </si>
  <si>
    <t>Hani Safitri</t>
  </si>
  <si>
    <t>Admin &amp; Keuangan</t>
  </si>
  <si>
    <t>KVN-012</t>
  </si>
  <si>
    <t>Irfan Maulana</t>
  </si>
  <si>
    <t>Marketing Exec</t>
  </si>
  <si>
    <t>TOTAL</t>
  </si>
  <si>
    <t>PT KREASI VISUAL NUSANTARA – CHART OF ACCOUNTS (COA) 2025</t>
  </si>
  <si>
    <t>Kode Akun</t>
  </si>
  <si>
    <t>Nama Akun</t>
  </si>
  <si>
    <t>Klasifikasi</t>
  </si>
  <si>
    <t>Saldo Normal</t>
  </si>
  <si>
    <t>Kelompok Laporan</t>
  </si>
  <si>
    <t xml:space="preserve">  1-0000  –  ASET</t>
  </si>
  <si>
    <t xml:space="preserve">  1-1000  –  ASET LANCAR</t>
  </si>
  <si>
    <t>1-1100</t>
  </si>
  <si>
    <t xml:space="preserve">    Kas</t>
  </si>
  <si>
    <t>Aset Lancar</t>
  </si>
  <si>
    <t>Debet</t>
  </si>
  <si>
    <t>Neraca</t>
  </si>
  <si>
    <t>1-1110</t>
  </si>
  <si>
    <t xml:space="preserve">    Bank BCA – Rekening Operasional</t>
  </si>
  <si>
    <t>1-1120</t>
  </si>
  <si>
    <t xml:space="preserve">    Bank Mandiri – Rekening Tabungan</t>
  </si>
  <si>
    <t>1-1200</t>
  </si>
  <si>
    <t xml:space="preserve">    Piutang Usaha</t>
  </si>
  <si>
    <t>1-1210</t>
  </si>
  <si>
    <t xml:space="preserve">    Cadangan Kerugian Piutang</t>
  </si>
  <si>
    <t>Kredit</t>
  </si>
  <si>
    <t>1-1300</t>
  </si>
  <si>
    <t xml:space="preserve">    Piutang Lain-lain</t>
  </si>
  <si>
    <t>1-1400</t>
  </si>
  <si>
    <t xml:space="preserve">    Perlengkapan Kantor</t>
  </si>
  <si>
    <t>1-1500</t>
  </si>
  <si>
    <t xml:space="preserve">    Sewa Dibayar di Muka</t>
  </si>
  <si>
    <t>1-1600</t>
  </si>
  <si>
    <t xml:space="preserve">    Asuransi Dibayar di Muka</t>
  </si>
  <si>
    <t>1-1700</t>
  </si>
  <si>
    <t xml:space="preserve">    PPN Masukan</t>
  </si>
  <si>
    <t>1-1800</t>
  </si>
  <si>
    <t xml:space="preserve">    Uang Muka Proyek</t>
  </si>
  <si>
    <t xml:space="preserve">  1-2000  –  ASET TETAP</t>
  </si>
  <si>
    <t>1-2100</t>
  </si>
  <si>
    <t xml:space="preserve">    Komputer &amp; Laptop</t>
  </si>
  <si>
    <t>Aset Tetap</t>
  </si>
  <si>
    <t>1-2110</t>
  </si>
  <si>
    <t xml:space="preserve">    Akum. Penyusutan Komputer &amp; Laptop</t>
  </si>
  <si>
    <t>1-2200</t>
  </si>
  <si>
    <t xml:space="preserve">    Monitor Desain</t>
  </si>
  <si>
    <t>1-2210</t>
  </si>
  <si>
    <t xml:space="preserve">    Akum. Penyusutan Monitor Desain</t>
  </si>
  <si>
    <t>1-2300</t>
  </si>
  <si>
    <t xml:space="preserve">    Printer &amp; Plotter</t>
  </si>
  <si>
    <t>1-2310</t>
  </si>
  <si>
    <t xml:space="preserve">    Akum. Penyusutan Printer &amp; Plotter</t>
  </si>
  <si>
    <t>1-2400</t>
  </si>
  <si>
    <t xml:space="preserve">    Kendaraan Operasional</t>
  </si>
  <si>
    <t>1-2410</t>
  </si>
  <si>
    <t xml:space="preserve">    Akum. Penyusutan Kendaraan</t>
  </si>
  <si>
    <t>1-2500</t>
  </si>
  <si>
    <t xml:space="preserve">    Perabot &amp; Furnitur Kantor</t>
  </si>
  <si>
    <t>1-2510</t>
  </si>
  <si>
    <t xml:space="preserve">    Akum. Penyusutan Perabot</t>
  </si>
  <si>
    <t>1-2600</t>
  </si>
  <si>
    <t xml:space="preserve">    Peralatan Fotografi</t>
  </si>
  <si>
    <t>1-2610</t>
  </si>
  <si>
    <t xml:space="preserve">    Akum. Penyusutan Peralatan Fotografi</t>
  </si>
  <si>
    <t xml:space="preserve">  2-0000  –  LIABILITAS</t>
  </si>
  <si>
    <t xml:space="preserve">  2-1000  –  LIABILITAS JANGKA PENDEK</t>
  </si>
  <si>
    <t>2-1100</t>
  </si>
  <si>
    <t xml:space="preserve">    Utang Usaha</t>
  </si>
  <si>
    <t>Liabilitas</t>
  </si>
  <si>
    <t>2-1200</t>
  </si>
  <si>
    <t xml:space="preserve">    Utang Gaji</t>
  </si>
  <si>
    <t>2-1300</t>
  </si>
  <si>
    <t xml:space="preserve">    Utang PPh 21</t>
  </si>
  <si>
    <t>2-1400</t>
  </si>
  <si>
    <t xml:space="preserve">    Utang PPN</t>
  </si>
  <si>
    <t>2-1500</t>
  </si>
  <si>
    <t xml:space="preserve">    PPN Keluaran</t>
  </si>
  <si>
    <t>2-1600</t>
  </si>
  <si>
    <t xml:space="preserve">    Pendapatan Diterima di Muka</t>
  </si>
  <si>
    <t>2-1700</t>
  </si>
  <si>
    <t xml:space="preserve">    Utang Pajak PPh Final</t>
  </si>
  <si>
    <t>2-1800</t>
  </si>
  <si>
    <t xml:space="preserve">    Biaya YMH Dibayar</t>
  </si>
  <si>
    <t xml:space="preserve">  2-2000  –  LIABILITAS JANGKA PANJANG</t>
  </si>
  <si>
    <t>2-2100</t>
  </si>
  <si>
    <t xml:space="preserve">    Utang Bank BCA (KMK)</t>
  </si>
  <si>
    <t xml:space="preserve">  3-0000  –  EKUITAS</t>
  </si>
  <si>
    <t>3-1000</t>
  </si>
  <si>
    <t xml:space="preserve">    Modal Disetor</t>
  </si>
  <si>
    <t>Ekuitas</t>
  </si>
  <si>
    <t>3-2000</t>
  </si>
  <si>
    <t xml:space="preserve">    Saldo Laba Ditahan</t>
  </si>
  <si>
    <t>3-3000</t>
  </si>
  <si>
    <t xml:space="preserve">    Laba/Rugi Tahun Berjalan</t>
  </si>
  <si>
    <t>3-4000</t>
  </si>
  <si>
    <t xml:space="preserve">    Prive/Dividen</t>
  </si>
  <si>
    <t xml:space="preserve">  4-0000  –  PENDAPATAN</t>
  </si>
  <si>
    <t>4-1100</t>
  </si>
  <si>
    <t xml:space="preserve">    Pendapatan Jasa Desain Grafis</t>
  </si>
  <si>
    <t>Pendapatan</t>
  </si>
  <si>
    <t>Lap. L/R</t>
  </si>
  <si>
    <t>4-1200</t>
  </si>
  <si>
    <t xml:space="preserve">    Pendapatan Jasa Branding &amp; Identitas</t>
  </si>
  <si>
    <t>4-1300</t>
  </si>
  <si>
    <t xml:space="preserve">    Pendapatan Jasa Web Design</t>
  </si>
  <si>
    <t>4-1400</t>
  </si>
  <si>
    <t xml:space="preserve">    Pendapatan Jasa Fotografi</t>
  </si>
  <si>
    <t>4-1500</t>
  </si>
  <si>
    <t xml:space="preserve">    Pendapatan Jasa Copywriting</t>
  </si>
  <si>
    <t>4-1600</t>
  </si>
  <si>
    <t xml:space="preserve">    Pendapatan Jasa Konsultasi Kreatif</t>
  </si>
  <si>
    <t>4-2000</t>
  </si>
  <si>
    <t xml:space="preserve">    Pendapatan Lain-lain</t>
  </si>
  <si>
    <t xml:space="preserve">  5-0000  –  BEBAN USAHA</t>
  </si>
  <si>
    <t xml:space="preserve">  5-1000  –  BEBAN POKOK JASA</t>
  </si>
  <si>
    <t>5-1100</t>
  </si>
  <si>
    <t xml:space="preserve">    Beban Gaji Desainer &amp; Kreatif</t>
  </si>
  <si>
    <t>Beban</t>
  </si>
  <si>
    <t>5-1200</t>
  </si>
  <si>
    <t xml:space="preserve">    Beban Perlengkapan Desain</t>
  </si>
  <si>
    <t>5-1300</t>
  </si>
  <si>
    <t xml:space="preserve">    Beban Software &amp; Lisensi</t>
  </si>
  <si>
    <t>5-1400</t>
  </si>
  <si>
    <t xml:space="preserve">    Beban Outsourcing / Freelance</t>
  </si>
  <si>
    <t xml:space="preserve">  5-2000  –  BEBAN OPERASIONAL</t>
  </si>
  <si>
    <t>5-2100</t>
  </si>
  <si>
    <t xml:space="preserve">    Beban Gaji Manajemen &amp; Admin</t>
  </si>
  <si>
    <t>5-2200</t>
  </si>
  <si>
    <t xml:space="preserve">    Beban Sewa Kantor</t>
  </si>
  <si>
    <t>5-2300</t>
  </si>
  <si>
    <t xml:space="preserve">    Beban Listrik, Air &amp; Internet</t>
  </si>
  <si>
    <t>5-2400</t>
  </si>
  <si>
    <t xml:space="preserve">    Beban Telepon &amp; Komunikasi</t>
  </si>
  <si>
    <t>5-2500</t>
  </si>
  <si>
    <t xml:space="preserve">    Beban Perlengkapan Kantor</t>
  </si>
  <si>
    <t>5-2600</t>
  </si>
  <si>
    <t xml:space="preserve">    Beban Pemasaran &amp; Iklan</t>
  </si>
  <si>
    <t>5-2700</t>
  </si>
  <si>
    <t xml:space="preserve">    Beban Transportasi &amp; BBM</t>
  </si>
  <si>
    <t>5-2800</t>
  </si>
  <si>
    <t xml:space="preserve">    Beban Pemeliharaan Aset</t>
  </si>
  <si>
    <t>5-2900</t>
  </si>
  <si>
    <t xml:space="preserve">    Beban Asuransi</t>
  </si>
  <si>
    <t xml:space="preserve">  5-3000  –  BEBAN PENYUSUTAN</t>
  </si>
  <si>
    <t>5-3100</t>
  </si>
  <si>
    <t xml:space="preserve">    Beban Penyusutan Komputer &amp; Laptop</t>
  </si>
  <si>
    <t>5-3200</t>
  </si>
  <si>
    <t xml:space="preserve">    Beban Penyusutan Monitor Desain</t>
  </si>
  <si>
    <t>5-3300</t>
  </si>
  <si>
    <t xml:space="preserve">    Beban Penyusutan Printer &amp; Plotter</t>
  </si>
  <si>
    <t>5-3400</t>
  </si>
  <si>
    <t xml:space="preserve">    Beban Penyusutan Kendaraan</t>
  </si>
  <si>
    <t>5-3500</t>
  </si>
  <si>
    <t xml:space="preserve">    Beban Penyusutan Perabot</t>
  </si>
  <si>
    <t>5-3600</t>
  </si>
  <si>
    <t xml:space="preserve">    Beban Penyusutan Peralatan Fotografi</t>
  </si>
  <si>
    <t xml:space="preserve">  5-4000  –  BEBAN LAIN-LAIN</t>
  </si>
  <si>
    <t>5-4100</t>
  </si>
  <si>
    <t xml:space="preserve">    Beban Cadangan Kerugian Piutang</t>
  </si>
  <si>
    <t>5-4200</t>
  </si>
  <si>
    <t xml:space="preserve">    Beban Pajak &amp; Retribusi</t>
  </si>
  <si>
    <t>5-4300</t>
  </si>
  <si>
    <t xml:space="preserve">    Beban Bunga Pinjaman</t>
  </si>
  <si>
    <t>5-4400</t>
  </si>
  <si>
    <t xml:space="preserve">    Beban Lain-lain</t>
  </si>
  <si>
    <t>NERACA SALDO AWAL – 1 JANUARI 2025</t>
  </si>
  <si>
    <t>Debet (Rp)</t>
  </si>
  <si>
    <t>Kredit (Rp)</t>
  </si>
  <si>
    <t xml:space="preserve">  Kas</t>
  </si>
  <si>
    <t xml:space="preserve">  Bank BCA – Rekening Operasional</t>
  </si>
  <si>
    <t xml:space="preserve">  Bank Mandiri – Rekening Tabungan</t>
  </si>
  <si>
    <t xml:space="preserve">  Piutang Usaha</t>
  </si>
  <si>
    <t xml:space="preserve">  Cadangan Kerugian Piutang</t>
  </si>
  <si>
    <t xml:space="preserve">  Perlengkapan Kantor</t>
  </si>
  <si>
    <t xml:space="preserve">  Sewa Dibayar di Muka</t>
  </si>
  <si>
    <t xml:space="preserve">  Asuransi Dibayar di Muka</t>
  </si>
  <si>
    <t xml:space="preserve">  Komputer &amp; Laptop</t>
  </si>
  <si>
    <t xml:space="preserve">  Akum. Penyusutan Komputer &amp; Laptop</t>
  </si>
  <si>
    <t xml:space="preserve">  Monitor Desain</t>
  </si>
  <si>
    <t xml:space="preserve">  Akum. Penyusutan Monitor Desain</t>
  </si>
  <si>
    <t xml:space="preserve">  Printer &amp; Plotter</t>
  </si>
  <si>
    <t xml:space="preserve">  Akum. Penyusutan Printer &amp; Plotter</t>
  </si>
  <si>
    <t xml:space="preserve">  Kendaraan Operasional</t>
  </si>
  <si>
    <t xml:space="preserve">  Akum. Penyusutan Kendaraan</t>
  </si>
  <si>
    <t xml:space="preserve">  Perabot &amp; Furnitur Kantor</t>
  </si>
  <si>
    <t xml:space="preserve">  Akum. Penyusutan Perabot</t>
  </si>
  <si>
    <t xml:space="preserve">  Peralatan Fotografi</t>
  </si>
  <si>
    <t xml:space="preserve">  Akum. Penyusutan Peralatan Fotografi</t>
  </si>
  <si>
    <t xml:space="preserve">  Utang Usaha</t>
  </si>
  <si>
    <t xml:space="preserve">  Utang Gaji</t>
  </si>
  <si>
    <t xml:space="preserve">  Utang PPh 21</t>
  </si>
  <si>
    <t xml:space="preserve">  Pendapatan Diterima di Muka</t>
  </si>
  <si>
    <t xml:space="preserve">  Utang Bank BCA (KMK)</t>
  </si>
  <si>
    <t xml:space="preserve">  Modal Disetor</t>
  </si>
  <si>
    <t xml:space="preserve">  Saldo Laba Ditahan</t>
  </si>
  <si>
    <t>SELISIH (harus = 0)</t>
  </si>
  <si>
    <t>← Harus NOL</t>
  </si>
  <si>
    <t>JURNAL UMUM – JANUARI 2025</t>
  </si>
  <si>
    <t>Tanggal</t>
  </si>
  <si>
    <t>Ref</t>
  </si>
  <si>
    <t>Keterangan / Nama Akun</t>
  </si>
  <si>
    <t>Bukti Transaksi</t>
  </si>
  <si>
    <t>02 Jan 2025</t>
  </si>
  <si>
    <t>JU-001</t>
  </si>
  <si>
    <t>Terima DP proyek branding PT Maju Bersama (50% dari Rp80jt)</t>
  </si>
  <si>
    <t>KM-001/I/2025</t>
  </si>
  <si>
    <t xml:space="preserve">  PPN Keluaran</t>
  </si>
  <si>
    <t>JU-002</t>
  </si>
  <si>
    <t>Bayar sewa kantor Januari 2025</t>
  </si>
  <si>
    <t>BK-001/I/2025</t>
  </si>
  <si>
    <t xml:space="preserve">  Beban Sewa Kantor</t>
  </si>
  <si>
    <t>03 Jan 2025</t>
  </si>
  <si>
    <t>JU-003</t>
  </si>
  <si>
    <t>Terima pelunasan piutang CV Cahaya Mandiri (inv Des 2024)</t>
  </si>
  <si>
    <t>KM-002/I/2025</t>
  </si>
  <si>
    <t>JU-004</t>
  </si>
  <si>
    <t>Beli perlengkapan desain (kertas, tinta, media) tunai</t>
  </si>
  <si>
    <t>BK-002/I/2025</t>
  </si>
  <si>
    <t xml:space="preserve">  PPN Masukan</t>
  </si>
  <si>
    <t>05 Jan 2025</t>
  </si>
  <si>
    <t>JU-005</t>
  </si>
  <si>
    <t>Kontrak baru: jasa desain katalog PT Surya Abadi – invoice terbit</t>
  </si>
  <si>
    <t>INV-001/I/2025</t>
  </si>
  <si>
    <t xml:space="preserve">  Pendapatan Jasa Desain Grafis</t>
  </si>
  <si>
    <t>07 Jan 2025</t>
  </si>
  <si>
    <t>JU-006</t>
  </si>
  <si>
    <t>Kontrak jasa branding CV Mitra Unggul – terima uang muka 30%</t>
  </si>
  <si>
    <t>KM-003/I/2025</t>
  </si>
  <si>
    <t>JU-007</t>
  </si>
  <si>
    <t>Bayar tagihan internet &amp; hosting bulan Januari</t>
  </si>
  <si>
    <t>BK-003/I/2025</t>
  </si>
  <si>
    <t xml:space="preserve">  Beban Listrik, Air &amp; Internet</t>
  </si>
  <si>
    <t>08 Jan 2025</t>
  </si>
  <si>
    <t>JU-008</t>
  </si>
  <si>
    <t>Selesai sebagian proyek branding PT Maju Bersama – akui 50% pendapatan</t>
  </si>
  <si>
    <t>MEM-001/I/2025</t>
  </si>
  <si>
    <t xml:space="preserve">  Pendapatan Jasa Branding &amp; Identitas</t>
  </si>
  <si>
    <t>10 Jan 2025</t>
  </si>
  <si>
    <t>JU-009</t>
  </si>
  <si>
    <t>Beli software Adobe Creative Cloud (1 tahun) – kredit</t>
  </si>
  <si>
    <t>INV-S001/I/2025</t>
  </si>
  <si>
    <t xml:space="preserve">  Beban Software &amp; Lisensi</t>
  </si>
  <si>
    <t>JU-010</t>
  </si>
  <si>
    <t>Terima pembayaran invoice INV-001 dari PT Surya Abadi</t>
  </si>
  <si>
    <t>KM-004/I/2025</t>
  </si>
  <si>
    <t>12 Jan 2025</t>
  </si>
  <si>
    <t>JU-011</t>
  </si>
  <si>
    <t>Penyelesaian proyek web design PT Horizon Digital – invoice terbit</t>
  </si>
  <si>
    <t>INV-002/I/2025</t>
  </si>
  <si>
    <t xml:space="preserve">  Pendapatan Jasa Web Design</t>
  </si>
  <si>
    <t>13 Jan 2025</t>
  </si>
  <si>
    <t>JU-012</t>
  </si>
  <si>
    <t>Bayar jasa fotografer freelance untuk proyek PT Horizon Digital</t>
  </si>
  <si>
    <t>BK-004/I/2025</t>
  </si>
  <si>
    <t xml:space="preserve">  Beban Outsourcing / Freelance</t>
  </si>
  <si>
    <t>14 Jan 2025</t>
  </si>
  <si>
    <t>JU-013</t>
  </si>
  <si>
    <t>Terima kontrak konsultasi kreatif tahunan PT Gemilang Sejati</t>
  </si>
  <si>
    <t>KM-005/I/2025</t>
  </si>
  <si>
    <t>15 Jan 2025</t>
  </si>
  <si>
    <t>JU-014</t>
  </si>
  <si>
    <t>Setor PPh 21 Desember 2024 ke kas negara</t>
  </si>
  <si>
    <t>BK-005/I/2025</t>
  </si>
  <si>
    <t>JU-015</t>
  </si>
  <si>
    <t>Bayar tagihan listrik &amp; air kantor Januari</t>
  </si>
  <si>
    <t>BK-006/I/2025</t>
  </si>
  <si>
    <t>JU-016</t>
  </si>
  <si>
    <t>Bayar angsuran KMK Bank BCA bulan Januari (pokok+bunga)</t>
  </si>
  <si>
    <t>BK-007/I/2025</t>
  </si>
  <si>
    <t xml:space="preserve">  Beban Bunga Pinjaman</t>
  </si>
  <si>
    <t>17 Jan 2025</t>
  </si>
  <si>
    <t>JU-017</t>
  </si>
  <si>
    <t>Jasa fotografi produk untuk UMKM Batik Nusantara – tunai</t>
  </si>
  <si>
    <t>KM-006/I/2025</t>
  </si>
  <si>
    <t xml:space="preserve">  Pendapatan Jasa Fotografi</t>
  </si>
  <si>
    <t>18 Jan 2025</t>
  </si>
  <si>
    <t>JU-018</t>
  </si>
  <si>
    <t>Bayar premi asuransi aset kantor (Jan–Jun 2025)</t>
  </si>
  <si>
    <t>BK-008/I/2025</t>
  </si>
  <si>
    <t>JU-019</t>
  </si>
  <si>
    <t>Terima pelunasan sisa piutang CV Bintang Timur (Des 2024)</t>
  </si>
  <si>
    <t>KM-007/I/2025</t>
  </si>
  <si>
    <t>20 Jan 2025</t>
  </si>
  <si>
    <t>JU-020</t>
  </si>
  <si>
    <t>Kontrak desain packaging PT Makanan Lezat – invoice terbit</t>
  </si>
  <si>
    <t>INV-003/I/2025</t>
  </si>
  <si>
    <t>21 Jan 2025</t>
  </si>
  <si>
    <t>JU-021</t>
  </si>
  <si>
    <t>Beli peralatan kantor minor (mouse, headset, kabel) tunai</t>
  </si>
  <si>
    <t>BK-009/I/2025</t>
  </si>
  <si>
    <t>22 Jan 2025</t>
  </si>
  <si>
    <t>JU-022</t>
  </si>
  <si>
    <t>Jasa copywriting konten website PT Sumber Rejeki – invoice terbit</t>
  </si>
  <si>
    <t>INV-004/I/2025</t>
  </si>
  <si>
    <t xml:space="preserve">  Pendapatan Jasa Copywriting</t>
  </si>
  <si>
    <t>JU-023</t>
  </si>
  <si>
    <t>Bayar tagihan telepon &amp; komunikasi bulan Januari</t>
  </si>
  <si>
    <t>BK-010/I/2025</t>
  </si>
  <si>
    <t xml:space="preserve">  Beban Telepon &amp; Komunikasi</t>
  </si>
  <si>
    <t>24 Jan 2025</t>
  </si>
  <si>
    <t>JU-024</t>
  </si>
  <si>
    <t>Akui bagian pendapatan diterima di muka konsultasi PT Gemilang (1/12)</t>
  </si>
  <si>
    <t>MEM-002/I/2025</t>
  </si>
  <si>
    <t xml:space="preserve">  Pendapatan Jasa Konsultasi Kreatif</t>
  </si>
  <si>
    <t>25 Jan 2025</t>
  </si>
  <si>
    <t>JU-025</t>
  </si>
  <si>
    <t>Bayar beban pemasaran digital (Google Ads, Instagram Ads)</t>
  </si>
  <si>
    <t>BK-011/I/2025</t>
  </si>
  <si>
    <t xml:space="preserve">  Beban Pemasaran &amp; Iklan</t>
  </si>
  <si>
    <t>JU-026</t>
  </si>
  <si>
    <t>Bayar utang usaha ke supplier (Adobe)</t>
  </si>
  <si>
    <t>BK-012/I/2025</t>
  </si>
  <si>
    <t>27 Jan 2025</t>
  </si>
  <si>
    <t>JU-027</t>
  </si>
  <si>
    <t>Terima DP 40% proyek branding CV Mitra Unggul – selesai brief</t>
  </si>
  <si>
    <t>KM-008/I/2025</t>
  </si>
  <si>
    <t>28 Jan 2025</t>
  </si>
  <si>
    <t>JU-028</t>
  </si>
  <si>
    <t>Bayar transportasi &amp; BBM operasional bulan Januari</t>
  </si>
  <si>
    <t>BK-013/I/2025</t>
  </si>
  <si>
    <t xml:space="preserve">  Beban Transportasi &amp; BBM</t>
  </si>
  <si>
    <t>JU-029</t>
  </si>
  <si>
    <t>Terima pelunasan invoice INV-003 dari PT Makanan Lezat</t>
  </si>
  <si>
    <t>KM-009/I/2025</t>
  </si>
  <si>
    <t>30 Jan 2025</t>
  </si>
  <si>
    <t>JU-030</t>
  </si>
  <si>
    <t>Bayar gaji karyawan Januari 2025 (neto setelah PPh 21)</t>
  </si>
  <si>
    <t>BK-014/I/2025</t>
  </si>
  <si>
    <t xml:space="preserve">  Beban Gaji Desainer &amp; Kreatif</t>
  </si>
  <si>
    <t xml:space="preserve">  Beban Gaji Manajemen &amp; Admin</t>
  </si>
  <si>
    <t>31 Jan 2025</t>
  </si>
  <si>
    <t>JU-031</t>
  </si>
  <si>
    <t>Setor PPN Desember 2024 (PPN Keluaran – PPN Masukan)</t>
  </si>
  <si>
    <t>BK-015/I/2025</t>
  </si>
  <si>
    <t>JU-032</t>
  </si>
  <si>
    <t>Pemeliharaan &amp; servis printer kantor</t>
  </si>
  <si>
    <t>BK-016/I/2025</t>
  </si>
  <si>
    <t xml:space="preserve">  Beban Pemeliharaan Aset</t>
  </si>
  <si>
    <t>TOTAL JURNAL UMUM JANUARI 2025</t>
  </si>
  <si>
    <t>JURNAL PENYESUAIAN – 31 JANUARI 2025</t>
  </si>
  <si>
    <t>Dasar Penyesuaian</t>
  </si>
  <si>
    <t>JP-001</t>
  </si>
  <si>
    <t>Beban Penyusutan Komputer &amp; Laptop</t>
  </si>
  <si>
    <t>75jt−5jt / 4th / 12bl = 1.458.333</t>
  </si>
  <si>
    <t xml:space="preserve">  Beban Penyusutan Komputer &amp; Laptop</t>
  </si>
  <si>
    <t>JP-002</t>
  </si>
  <si>
    <t>Beban Penyusutan Monitor Desain</t>
  </si>
  <si>
    <t>40jt−2jt / 4th / 12bl = 791.667</t>
  </si>
  <si>
    <t xml:space="preserve">  Beban Penyusutan Monitor Desain</t>
  </si>
  <si>
    <t>JP-003</t>
  </si>
  <si>
    <t>Beban Penyusutan Printer &amp; Plotter</t>
  </si>
  <si>
    <t>35jt−3jt / 5th / 12bl = 533.333</t>
  </si>
  <si>
    <t xml:space="preserve">  Beban Penyusutan Printer &amp; Plotter</t>
  </si>
  <si>
    <t>JP-004</t>
  </si>
  <si>
    <t>Beban Penyusutan Kendaraan Operasional</t>
  </si>
  <si>
    <t>120jt−20jt / 8th / 12bl = 1.041.667</t>
  </si>
  <si>
    <t xml:space="preserve">  Beban Penyusutan Kendaraan</t>
  </si>
  <si>
    <t>JP-005</t>
  </si>
  <si>
    <t>Beban Penyusutan Perabot &amp; Furnitur</t>
  </si>
  <si>
    <t>28jt / 5th / 12bl = 466.667</t>
  </si>
  <si>
    <t xml:space="preserve">  Beban Penyusutan Perabot</t>
  </si>
  <si>
    <t>JP-006</t>
  </si>
  <si>
    <t>Beban Penyusutan Peralatan Fotografi</t>
  </si>
  <si>
    <t>55jt−5jt / 5th / 12bl = 833.333</t>
  </si>
  <si>
    <t xml:space="preserve">  Beban Penyusutan Peralatan Fotografi</t>
  </si>
  <si>
    <t>JP-007</t>
  </si>
  <si>
    <t>Pengakuan perlengkapan kantor yang terpakai Januari</t>
  </si>
  <si>
    <t>Stok awal 8,5jt + beli 5,7jt − sisa taksir 10jt = 4,2jt</t>
  </si>
  <si>
    <t xml:space="preserve">  Beban Perlengkapan Kantor</t>
  </si>
  <si>
    <t>JP-008</t>
  </si>
  <si>
    <t>Pengakuan beban asuransi Januari (6jt / 6 bulan)</t>
  </si>
  <si>
    <t>6.000.000 / 6 bulan = 1.000.000</t>
  </si>
  <si>
    <t xml:space="preserve">  Beban Asuransi</t>
  </si>
  <si>
    <t>JP-009</t>
  </si>
  <si>
    <t>Pembentukan cadangan kerugian piutang (2% × saldo piutang)</t>
  </si>
  <si>
    <t>2% × saldo piutang akhir Jan (estimasi 105,85jt) = 2.117.000</t>
  </si>
  <si>
    <t xml:space="preserve">  Beban Cadangan Kerugian Piutang</t>
  </si>
  <si>
    <t>JP-010</t>
  </si>
  <si>
    <t>Akrual gaji karyawan yang masih harus dibayar per 31 Jan</t>
  </si>
  <si>
    <t>Selisih gaji bruto 98jt − neto terbayar 86,575jt → Utang gaji</t>
  </si>
  <si>
    <t>JP-011</t>
  </si>
  <si>
    <t>Koreksi sewa Dibayar Dimuka – alokasi bulan Januari</t>
  </si>
  <si>
    <t>Saldo sewa 24jt / 12 bulan = 2.000.000 per bulan</t>
  </si>
  <si>
    <t>JP-012</t>
  </si>
  <si>
    <t>Akrual beban bunga pinjaman KMK yang belum dibayar</t>
  </si>
  <si>
    <t>Sudah dicatat di JU-016; memo konfirmasi bank</t>
  </si>
  <si>
    <t xml:space="preserve">  ← Sudah dicatat dalam JU-016 (tidak double)</t>
  </si>
  <si>
    <t>TOTAL JURNAL PENYESUAIAN JANUARI 2025</t>
  </si>
  <si>
    <t>NERACA SALDO SEBELUM PENYESUAIAN – 31 JANUARI 2025</t>
  </si>
  <si>
    <t>isikan dari BB</t>
  </si>
  <si>
    <t xml:space="preserve">  Uang Muka Proyek</t>
  </si>
  <si>
    <t xml:space="preserve">  Utang PPN</t>
  </si>
  <si>
    <t>📌 PETUNJUK: Isi kolom Debet/Kredit (sel kuning) dari hasil posting Buku Besar. Pastikan Total Debet = Total Kredit sebelum melanjutkan ke Jurnal Penyesuaian.</t>
  </si>
  <si>
    <t>PT KREASI VISUAL NUSANTARA – TEMPLATE BUKU BESAR</t>
  </si>
  <si>
    <t>Periode: Januari 2025  |  Salin format ini untuk setiap akun</t>
  </si>
  <si>
    <t>Nama Akun : Kas</t>
  </si>
  <si>
    <t>Kode : 1-1100</t>
  </si>
  <si>
    <t>Saldo Normal : Debet</t>
  </si>
  <si>
    <t>Hal : ___</t>
  </si>
  <si>
    <t>Saldo (Rp)</t>
  </si>
  <si>
    <t>01 Jan 2025</t>
  </si>
  <si>
    <t>Saldo Awal</t>
  </si>
  <si>
    <t>NS-Awal</t>
  </si>
  <si>
    <t>Saldo Akhir 31 Jan 2025</t>
  </si>
  <si>
    <t>Nama Akun : Bank BCA – Rekening Operasional</t>
  </si>
  <si>
    <t>Kode : 1-1110</t>
  </si>
  <si>
    <t>Nama Akun : Piutang Usaha</t>
  </si>
  <si>
    <t>Kode : 1-1200</t>
  </si>
  <si>
    <t>Nama Akun : Utang Usaha</t>
  </si>
  <si>
    <t>Kode : 2-1100</t>
  </si>
  <si>
    <t>Saldo Normal : Kredit</t>
  </si>
  <si>
    <t>Nama Akun : Pendapatan Jasa Desain Grafis</t>
  </si>
  <si>
    <t>Kode : 4-1100</t>
  </si>
  <si>
    <t>Nama Akun : Beban Gaji Desainer &amp; Kreatif</t>
  </si>
  <si>
    <t>Kode : 5-1100</t>
  </si>
  <si>
    <t>📌 Salin format Buku Besar di atas untuk setiap akun yang aktif. Sel kuning = input manual. Sel hijau (Saldo) = formula otomatis. Setelah semua akun selesai, pindahkan saldo akhir ke Sheet '5. Neraca Saldo Sblm Penyesuaian'.</t>
  </si>
  <si>
    <t>NERACA LAJUR (WORKSHEET) – 31 JANUARI 2025</t>
  </si>
  <si>
    <t>Kode
Akun</t>
  </si>
  <si>
    <t>NS Sblm Penyesuaian</t>
  </si>
  <si>
    <t>Jurnal Penyesuaian</t>
  </si>
  <si>
    <t>NS Setelah Penyesuaian</t>
  </si>
  <si>
    <t xml:space="preserve">  Bank BCA – Rek. Operasional</t>
  </si>
  <si>
    <t xml:space="preserve">  Bank Mandiri – Rek. Tabungan</t>
  </si>
  <si>
    <t xml:space="preserve">  Akum. Penyusutan Komputer</t>
  </si>
  <si>
    <t xml:space="preserve">  Akum. Penyusutan Monitor</t>
  </si>
  <si>
    <t xml:space="preserve">  Akum. Penyusutan Printer</t>
  </si>
  <si>
    <t xml:space="preserve">  Perabot &amp; Furnitur</t>
  </si>
  <si>
    <t xml:space="preserve">  Akum. Penyusutan Fotografi</t>
  </si>
  <si>
    <t xml:space="preserve">  Pend. Jasa Desain Grafis</t>
  </si>
  <si>
    <t xml:space="preserve">  Pend. Jasa Branding</t>
  </si>
  <si>
    <t xml:space="preserve">  Pend. Jasa Web Design</t>
  </si>
  <si>
    <t xml:space="preserve">  Pend. Jasa Fotografi</t>
  </si>
  <si>
    <t xml:space="preserve">  Pend. Jasa Copywriting</t>
  </si>
  <si>
    <t xml:space="preserve">  Pend. Jasa Konsultasi</t>
  </si>
  <si>
    <t xml:space="preserve">  Beban Gaji Desainer</t>
  </si>
  <si>
    <t xml:space="preserve">  Beban Outsourcing</t>
  </si>
  <si>
    <t xml:space="preserve">  Beban Gaji Manajemen</t>
  </si>
  <si>
    <t xml:space="preserve">  Beban Listrik &amp; Internet</t>
  </si>
  <si>
    <t xml:space="preserve">  Beban Telepon</t>
  </si>
  <si>
    <t xml:space="preserve">  Beban Perlengkapan</t>
  </si>
  <si>
    <t xml:space="preserve">  Beban Pemasaran</t>
  </si>
  <si>
    <t xml:space="preserve">  Beban Transportasi</t>
  </si>
  <si>
    <t xml:space="preserve">  Beban Pemeliharaan</t>
  </si>
  <si>
    <t xml:space="preserve">  Beban Penyusutan Komputer</t>
  </si>
  <si>
    <t xml:space="preserve">  Beban Penyusutan Monitor</t>
  </si>
  <si>
    <t xml:space="preserve">  Beban Penyusutan Printer</t>
  </si>
  <si>
    <t xml:space="preserve">  Beban Penyusutan Fotografi</t>
  </si>
  <si>
    <t xml:space="preserve">  Beban Cad. Kerugian Piutang</t>
  </si>
  <si>
    <t>LAPORAN LABA RUGI</t>
  </si>
  <si>
    <t>Untuk Periode yang Berakhir 31 Januari 2025</t>
  </si>
  <si>
    <t>PENDAPATAN JASA</t>
  </si>
  <si>
    <t xml:space="preserve">  Pendapatan Lain-lain</t>
  </si>
  <si>
    <t>TOTAL PENDAPATAN</t>
  </si>
  <si>
    <t>BEBAN POKOK JASA</t>
  </si>
  <si>
    <t xml:space="preserve">  Beban Perlengkapan Desain</t>
  </si>
  <si>
    <t>TOTAL BEBAN POKOK</t>
  </si>
  <si>
    <t>LABA KOTOR</t>
  </si>
  <si>
    <t>BEBAN OPERASIONAL</t>
  </si>
  <si>
    <t>TOTAL BEBAN OPERASIONAL</t>
  </si>
  <si>
    <t>BEBAN PENYUSUTAN</t>
  </si>
  <si>
    <t>TOTAL BEBAN PENYUSUTAN</t>
  </si>
  <si>
    <t>BEBAN LAIN-LAIN</t>
  </si>
  <si>
    <t>TOTAL BEBAN LAIN-LAIN</t>
  </si>
  <si>
    <t>TOTAL SEMUA BEBAN</t>
  </si>
  <si>
    <t>LABA BERSIH SEBELUM PAJAK</t>
  </si>
  <si>
    <t xml:space="preserve">  PPh Badan (jika ada)</t>
  </si>
  <si>
    <t>LABA BERSIH SETELAH PAJAK</t>
  </si>
  <si>
    <t>NERACA (LAPORAN POSISI KEUANGAN)</t>
  </si>
  <si>
    <t>Per 31 Januari 2025</t>
  </si>
  <si>
    <t>ASET</t>
  </si>
  <si>
    <t>LIABILITAS &amp; EKUITAS</t>
  </si>
  <si>
    <t>ASET LANCAR</t>
  </si>
  <si>
    <t>LIABILITAS JANGKA PENDEK</t>
  </si>
  <si>
    <t xml:space="preserve">  Piutang Usaha (neto)</t>
  </si>
  <si>
    <t>Total Liabilitas Jangka Pendek</t>
  </si>
  <si>
    <t>LIABILITAS JANGKA PANJANG</t>
  </si>
  <si>
    <t>Total Aset Lancar</t>
  </si>
  <si>
    <t>Total Liabilitas Jangka Panjang</t>
  </si>
  <si>
    <t>ASET TETAP</t>
  </si>
  <si>
    <t>TOTAL LIABILITAS</t>
  </si>
  <si>
    <t xml:space="preserve">  Akum. Penyusutan</t>
  </si>
  <si>
    <t>EKUITAS</t>
  </si>
  <si>
    <t xml:space="preserve">  Laba Bersih Bulan Ini</t>
  </si>
  <si>
    <t>Total Ekuitas</t>
  </si>
  <si>
    <t>TOTAL LIABILITAS + EKUITAS</t>
  </si>
  <si>
    <t>Total Aset Tetap (Neto)</t>
  </si>
  <si>
    <t>TOTAL 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</si>
</sst>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32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2"/>
      <color rgb="FFFFFFFF"/>
      <name val="Arial"/>
    </font>
    <font>
      <b/>
      <sz val="10"/>
      <color rgb="FF1F3864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3"/>
      <color rgb="FFFFFFFF"/>
      <name val="Arial"/>
    </font>
    <font>
      <b/>
      <sz val="9"/>
      <color rgb="FF1F3864"/>
      <name val="Arial"/>
    </font>
    <font>
      <sz val="9"/>
      <color rgb="FF1F3864"/>
      <name val="Arial"/>
    </font>
    <font>
      <sz val="9"/>
      <color rgb="FF375623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i/>
      <sz val="9"/>
      <color rgb="FF9C0006"/>
      <name val="Arial"/>
    </font>
    <font>
      <b/>
      <sz val="8"/>
      <color rgb="FF000000"/>
      <name val="Arial"/>
    </font>
    <font>
      <b/>
      <sz val="9"/>
      <color rgb="FF9C0006"/>
      <name val="Arial"/>
    </font>
    <font>
      <i/>
      <sz val="8"/>
      <color rgb="FF000000"/>
      <name val="Arial"/>
    </font>
    <font>
      <i/>
      <sz val="8"/>
      <color rgb="FF595959"/>
      <name val="Arial"/>
    </font>
    <font>
      <i/>
      <sz val="9"/>
      <color rgb="FF833C00"/>
      <name val="Arial"/>
    </font>
    <font>
      <b/>
      <sz val="10"/>
      <color rgb="FFFFFFFF"/>
      <name val="Arial"/>
    </font>
    <font>
      <sz val="9"/>
      <color rgb="FFFFFFFF"/>
      <name val="Arial"/>
    </font>
    <font>
      <b/>
      <sz val="9"/>
      <color rgb="FF375623"/>
      <name val="Arial"/>
    </font>
    <font>
      <b/>
      <sz val="8"/>
      <color rgb="FFFFFFFF"/>
      <name val="Arial"/>
    </font>
    <font>
      <sz val="8"/>
      <color rgb="FF000000"/>
      <name val="Arial"/>
    </font>
    <font>
      <i/>
      <sz val="10"/>
      <color rgb="FF595959"/>
      <name val="Arial"/>
    </font>
    <font>
      <b/>
      <sz val="10"/>
      <color rgb="FF375623"/>
      <name val="Arial"/>
    </font>
    <font>
      <b/>
      <sz val="11"/>
      <color rgb="FF1F3864"/>
      <name val="Arial"/>
    </font>
    <font>
      <b/>
      <sz val="16"/>
      <color rgb="FFFFFFFF"/>
      <name val="Arial"/>
    </font>
    <font>
      <b/>
      <sz val="9"/>
      <color rgb="FF2E4D7B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D7B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5" fillId="6" borderId="0" xfId="0" applyFont="1" applyFill="1" applyAlignment="1">
      <alignment horizontal="left" vertical="center"/>
    </xf>
    <xf numFmtId="0" fontId="9" fillId="8" borderId="1" xfId="0" applyFont="1" applyFill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9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left" vertical="center" wrapText="1"/>
    </xf>
    <xf numFmtId="164" fontId="12" fillId="10" borderId="1" xfId="0" applyNumberFormat="1" applyFont="1" applyFill="1" applyBorder="1" applyAlignment="1">
      <alignment horizontal="right" vertical="center"/>
    </xf>
    <xf numFmtId="164" fontId="13" fillId="10" borderId="1" xfId="0" applyNumberFormat="1" applyFont="1" applyFill="1" applyBorder="1" applyAlignment="1">
      <alignment horizontal="right" vertical="center"/>
    </xf>
    <xf numFmtId="0" fontId="20" fillId="0" borderId="1" xfId="0" applyFont="1" applyBorder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164" fontId="12" fillId="5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/>
    </xf>
    <xf numFmtId="164" fontId="8" fillId="10" borderId="1" xfId="0" applyNumberFormat="1" applyFont="1" applyFill="1" applyBorder="1" applyAlignment="1">
      <alignment horizontal="right" vertical="center"/>
    </xf>
    <xf numFmtId="164" fontId="24" fillId="8" borderId="1" xfId="0" applyNumberFormat="1" applyFont="1" applyFill="1" applyBorder="1" applyAlignment="1">
      <alignment horizontal="right" vertical="center"/>
    </xf>
    <xf numFmtId="164" fontId="11" fillId="4" borderId="1" xfId="0" applyNumberFormat="1" applyFont="1" applyFill="1" applyBorder="1" applyAlignment="1">
      <alignment horizontal="right" vertical="center"/>
    </xf>
    <xf numFmtId="164" fontId="13" fillId="5" borderId="1" xfId="0" applyNumberFormat="1" applyFont="1" applyFill="1" applyBorder="1" applyAlignment="1">
      <alignment horizontal="right" vertical="center"/>
    </xf>
    <xf numFmtId="0" fontId="25" fillId="3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left" vertical="center"/>
    </xf>
    <xf numFmtId="164" fontId="26" fillId="10" borderId="1" xfId="0" applyNumberFormat="1" applyFont="1" applyFill="1" applyBorder="1" applyAlignment="1">
      <alignment horizontal="right" vertical="center"/>
    </xf>
    <xf numFmtId="0" fontId="26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right" vertical="center"/>
    </xf>
    <xf numFmtId="164" fontId="17" fillId="4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0" fontId="9" fillId="4" borderId="2" xfId="0" applyFont="1" applyFill="1" applyBorder="1" applyAlignment="1">
      <alignment horizontal="left" vertical="center"/>
    </xf>
    <xf numFmtId="164" fontId="11" fillId="10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28" fillId="8" borderId="0" xfId="0" applyFont="1" applyFill="1" applyAlignment="1">
      <alignment horizontal="left" vertical="center"/>
    </xf>
    <xf numFmtId="164" fontId="28" fillId="8" borderId="1" xfId="0" applyNumberFormat="1" applyFont="1" applyFill="1" applyBorder="1" applyAlignment="1">
      <alignment horizontal="right" vertical="center"/>
    </xf>
    <xf numFmtId="164" fontId="28" fillId="10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3" fillId="10" borderId="1" xfId="0" applyNumberFormat="1" applyFont="1" applyFill="1" applyBorder="1" applyAlignment="1">
      <alignment horizontal="right" vertical="center"/>
    </xf>
    <xf numFmtId="164" fontId="15" fillId="2" borderId="1" xfId="0" applyNumberFormat="1" applyFont="1" applyFill="1" applyBorder="1" applyAlignment="1">
      <alignment horizontal="right" vertical="center"/>
    </xf>
    <xf numFmtId="164" fontId="29" fillId="10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0" fillId="11" borderId="0" xfId="0" applyFill="1"/>
    <xf numFmtId="0" fontId="0" fillId="0" borderId="3" xfId="0" applyBorder="1"/>
    <xf numFmtId="0" fontId="22" fillId="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0" fillId="0" borderId="1" xfId="0" applyBorder="1"/>
    <xf numFmtId="0" fontId="8" fillId="7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15" fillId="3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0" fillId="3" borderId="0" xfId="0" applyFill="1"/>
    <xf numFmtId="0" fontId="14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right" vertical="center"/>
    </xf>
    <xf numFmtId="0" fontId="21" fillId="9" borderId="0" xfId="0" applyFont="1" applyFill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27" fillId="6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18" fillId="0" borderId="3" xfId="0" applyFont="1" applyBorder="1" applyAlignment="1">
      <alignment horizontal="right" vertical="center"/>
    </xf>
    <xf numFmtId="0" fontId="15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0"/>
  <sheetViews>
    <sheetView showGridLines="0" topLeftCell="A26" workbookViewId="0">
      <selection activeCell="A34" sqref="A34:D34"/>
    </sheetView>
  </sheetViews>
  <sheetFormatPr defaultRowHeight="14.5" x14ac:dyDescent="0.35"/>
  <cols>
    <col min="1" max="1" width="6" customWidth="1"/>
    <col min="2" max="2" width="36" customWidth="1"/>
    <col min="3" max="3" width="55" customWidth="1"/>
    <col min="4" max="4" width="27.453125" customWidth="1"/>
  </cols>
  <sheetData>
    <row r="2" spans="1:4" ht="20" x14ac:dyDescent="0.35">
      <c r="A2" s="101" t="s">
        <v>0</v>
      </c>
      <c r="B2" s="99"/>
      <c r="C2" s="99"/>
      <c r="D2" s="99"/>
    </row>
    <row r="3" spans="1:4" x14ac:dyDescent="0.35">
      <c r="A3" s="100" t="s">
        <v>1</v>
      </c>
      <c r="B3" s="99"/>
      <c r="C3" s="99"/>
      <c r="D3" s="99"/>
    </row>
    <row r="5" spans="1:4" ht="18" customHeight="1" x14ac:dyDescent="0.35">
      <c r="A5" s="118" t="s">
        <v>2</v>
      </c>
      <c r="B5" s="118"/>
      <c r="C5" s="118"/>
      <c r="D5" s="118"/>
    </row>
    <row r="6" spans="1:4" ht="18" customHeight="1" x14ac:dyDescent="0.35">
      <c r="A6" s="1" t="s">
        <v>3</v>
      </c>
      <c r="B6" s="1" t="s">
        <v>4</v>
      </c>
      <c r="C6" s="1" t="s">
        <v>5</v>
      </c>
      <c r="D6" s="1" t="s">
        <v>6</v>
      </c>
    </row>
    <row r="7" spans="1:4" ht="22" customHeight="1" x14ac:dyDescent="0.35">
      <c r="A7" s="2">
        <v>1</v>
      </c>
      <c r="B7" s="3" t="s">
        <v>7</v>
      </c>
      <c r="C7" s="4" t="s">
        <v>8</v>
      </c>
      <c r="D7" s="5" t="s">
        <v>9</v>
      </c>
    </row>
    <row r="8" spans="1:4" ht="22" customHeight="1" x14ac:dyDescent="0.35">
      <c r="A8" s="6">
        <v>2</v>
      </c>
      <c r="B8" s="7" t="s">
        <v>10</v>
      </c>
      <c r="C8" s="8" t="s">
        <v>11</v>
      </c>
      <c r="D8" s="9" t="s">
        <v>12</v>
      </c>
    </row>
    <row r="9" spans="1:4" ht="22" customHeight="1" x14ac:dyDescent="0.35">
      <c r="A9" s="2">
        <v>3</v>
      </c>
      <c r="B9" s="3" t="s">
        <v>13</v>
      </c>
      <c r="C9" s="4" t="s">
        <v>14</v>
      </c>
      <c r="D9" s="5" t="s">
        <v>15</v>
      </c>
    </row>
    <row r="10" spans="1:4" ht="22" customHeight="1" x14ac:dyDescent="0.35">
      <c r="A10" s="6">
        <v>4</v>
      </c>
      <c r="B10" s="7" t="s">
        <v>16</v>
      </c>
      <c r="C10" s="8" t="s">
        <v>17</v>
      </c>
      <c r="D10" s="9" t="s">
        <v>18</v>
      </c>
    </row>
    <row r="11" spans="1:4" ht="22" customHeight="1" x14ac:dyDescent="0.35">
      <c r="A11" s="2">
        <v>5</v>
      </c>
      <c r="B11" s="3" t="s">
        <v>19</v>
      </c>
      <c r="C11" s="4" t="s">
        <v>20</v>
      </c>
      <c r="D11" s="5" t="s">
        <v>21</v>
      </c>
    </row>
    <row r="12" spans="1:4" ht="22" customHeight="1" x14ac:dyDescent="0.35">
      <c r="A12" s="6">
        <v>6</v>
      </c>
      <c r="B12" s="7" t="s">
        <v>22</v>
      </c>
      <c r="C12" s="8" t="s">
        <v>23</v>
      </c>
      <c r="D12" s="9" t="s">
        <v>24</v>
      </c>
    </row>
    <row r="13" spans="1:4" ht="22" customHeight="1" x14ac:dyDescent="0.35">
      <c r="A13" s="2">
        <v>7</v>
      </c>
      <c r="B13" s="3" t="s">
        <v>25</v>
      </c>
      <c r="C13" s="4" t="s">
        <v>26</v>
      </c>
      <c r="D13" s="5" t="s">
        <v>27</v>
      </c>
    </row>
    <row r="14" spans="1:4" ht="22" customHeight="1" x14ac:dyDescent="0.35">
      <c r="A14" s="6">
        <v>8</v>
      </c>
      <c r="B14" s="7" t="s">
        <v>28</v>
      </c>
      <c r="C14" s="8" t="s">
        <v>29</v>
      </c>
      <c r="D14" s="9" t="s">
        <v>30</v>
      </c>
    </row>
    <row r="15" spans="1:4" ht="22" customHeight="1" x14ac:dyDescent="0.35">
      <c r="A15" s="2">
        <v>9</v>
      </c>
      <c r="B15" s="3" t="s">
        <v>31</v>
      </c>
      <c r="C15" s="4" t="s">
        <v>32</v>
      </c>
      <c r="D15" s="5" t="s">
        <v>33</v>
      </c>
    </row>
    <row r="16" spans="1:4" ht="22" customHeight="1" x14ac:dyDescent="0.35">
      <c r="A16" s="6">
        <v>10</v>
      </c>
      <c r="B16" s="7" t="s">
        <v>34</v>
      </c>
      <c r="C16" s="8" t="s">
        <v>35</v>
      </c>
      <c r="D16" s="9" t="s">
        <v>36</v>
      </c>
    </row>
    <row r="17" spans="1:4" ht="22" customHeight="1" x14ac:dyDescent="0.35">
      <c r="A17" s="2">
        <v>11</v>
      </c>
      <c r="B17" s="3" t="s">
        <v>37</v>
      </c>
      <c r="C17" s="4" t="s">
        <v>38</v>
      </c>
      <c r="D17" s="5" t="s">
        <v>36</v>
      </c>
    </row>
    <row r="19" spans="1:4" ht="18" customHeight="1" x14ac:dyDescent="0.35">
      <c r="A19" s="118" t="s">
        <v>39</v>
      </c>
      <c r="B19" s="118"/>
      <c r="C19" s="118"/>
      <c r="D19" s="118"/>
    </row>
    <row r="20" spans="1:4" ht="18" customHeight="1" x14ac:dyDescent="0.35">
      <c r="A20" s="1" t="s">
        <v>40</v>
      </c>
      <c r="B20" s="1" t="s">
        <v>41</v>
      </c>
      <c r="C20" s="1" t="s">
        <v>42</v>
      </c>
      <c r="D20" s="10"/>
    </row>
    <row r="21" spans="1:4" ht="18" customHeight="1" x14ac:dyDescent="0.35">
      <c r="A21" s="11" t="s">
        <v>43</v>
      </c>
      <c r="B21" s="12" t="s">
        <v>44</v>
      </c>
      <c r="C21" s="97" t="s">
        <v>45</v>
      </c>
      <c r="D21" s="96"/>
    </row>
    <row r="22" spans="1:4" ht="18" customHeight="1" x14ac:dyDescent="0.35">
      <c r="A22" s="14" t="s">
        <v>46</v>
      </c>
      <c r="B22" s="15" t="s">
        <v>47</v>
      </c>
      <c r="C22" s="95" t="s">
        <v>48</v>
      </c>
      <c r="D22" s="96"/>
    </row>
    <row r="23" spans="1:4" ht="18" customHeight="1" x14ac:dyDescent="0.35">
      <c r="A23" s="11" t="s">
        <v>49</v>
      </c>
      <c r="B23" s="12" t="s">
        <v>50</v>
      </c>
      <c r="C23" s="97" t="s">
        <v>51</v>
      </c>
      <c r="D23" s="96"/>
    </row>
    <row r="24" spans="1:4" ht="18" customHeight="1" x14ac:dyDescent="0.35">
      <c r="A24" s="14" t="s">
        <v>52</v>
      </c>
      <c r="B24" s="15" t="s">
        <v>53</v>
      </c>
      <c r="C24" s="95" t="s">
        <v>54</v>
      </c>
      <c r="D24" s="96"/>
    </row>
    <row r="25" spans="1:4" ht="18" customHeight="1" x14ac:dyDescent="0.35">
      <c r="A25" s="11" t="s">
        <v>55</v>
      </c>
      <c r="B25" s="12" t="s">
        <v>56</v>
      </c>
      <c r="C25" s="97" t="s">
        <v>57</v>
      </c>
      <c r="D25" s="96"/>
    </row>
    <row r="26" spans="1:4" ht="18" customHeight="1" x14ac:dyDescent="0.35">
      <c r="A26" s="14" t="s">
        <v>58</v>
      </c>
      <c r="B26" s="15" t="s">
        <v>59</v>
      </c>
      <c r="C26" s="95" t="s">
        <v>60</v>
      </c>
      <c r="D26" s="96"/>
    </row>
    <row r="27" spans="1:4" ht="18" customHeight="1" x14ac:dyDescent="0.35">
      <c r="A27" s="11" t="s">
        <v>61</v>
      </c>
      <c r="B27" s="12" t="s">
        <v>62</v>
      </c>
      <c r="C27" s="97" t="s">
        <v>63</v>
      </c>
      <c r="D27" s="96"/>
    </row>
    <row r="28" spans="1:4" ht="18" customHeight="1" x14ac:dyDescent="0.35">
      <c r="A28" s="14" t="s">
        <v>64</v>
      </c>
      <c r="B28" s="15" t="s">
        <v>65</v>
      </c>
      <c r="C28" s="95" t="s">
        <v>66</v>
      </c>
      <c r="D28" s="96"/>
    </row>
    <row r="29" spans="1:4" ht="18" customHeight="1" x14ac:dyDescent="0.35">
      <c r="A29" s="11" t="s">
        <v>67</v>
      </c>
      <c r="B29" s="12" t="s">
        <v>68</v>
      </c>
      <c r="C29" s="97" t="s">
        <v>69</v>
      </c>
      <c r="D29" s="96"/>
    </row>
    <row r="30" spans="1:4" ht="18" customHeight="1" x14ac:dyDescent="0.35">
      <c r="A30" s="14" t="s">
        <v>70</v>
      </c>
      <c r="B30" s="15" t="s">
        <v>71</v>
      </c>
      <c r="C30" s="95" t="s">
        <v>72</v>
      </c>
      <c r="D30" s="96"/>
    </row>
    <row r="31" spans="1:4" ht="18" customHeight="1" x14ac:dyDescent="0.35">
      <c r="A31" s="11" t="s">
        <v>73</v>
      </c>
      <c r="B31" s="12" t="s">
        <v>74</v>
      </c>
      <c r="C31" s="97" t="s">
        <v>75</v>
      </c>
      <c r="D31" s="96"/>
    </row>
    <row r="32" spans="1:4" ht="18" customHeight="1" x14ac:dyDescent="0.35">
      <c r="A32" s="14" t="s">
        <v>76</v>
      </c>
      <c r="B32" s="15" t="s">
        <v>77</v>
      </c>
      <c r="C32" s="95" t="s">
        <v>78</v>
      </c>
      <c r="D32" s="96"/>
    </row>
    <row r="34" spans="1:4" ht="18" customHeight="1" x14ac:dyDescent="0.35">
      <c r="A34" s="118" t="s">
        <v>79</v>
      </c>
      <c r="B34" s="118"/>
      <c r="C34" s="118"/>
      <c r="D34" s="118"/>
    </row>
    <row r="35" spans="1:4" ht="16" customHeight="1" x14ac:dyDescent="0.35">
      <c r="A35" s="17"/>
      <c r="B35" s="7" t="s">
        <v>80</v>
      </c>
      <c r="C35" s="95" t="e">
        <f>Sel yang harus diisi oleh kamu (input manual)</f>
        <v>#NAME?</v>
      </c>
      <c r="D35" s="96"/>
    </row>
    <row r="36" spans="1:4" ht="16" customHeight="1" x14ac:dyDescent="0.35">
      <c r="A36" s="18"/>
      <c r="B36" s="7" t="s">
        <v>81</v>
      </c>
      <c r="C36" s="95" t="e">
        <f>Formula otomatis (jangan diubah isinya, hanya formatnya)</f>
        <v>#NAME?</v>
      </c>
      <c r="D36" s="96"/>
    </row>
    <row r="37" spans="1:4" ht="16" customHeight="1" x14ac:dyDescent="0.35">
      <c r="A37" s="19"/>
      <c r="B37" s="7" t="s">
        <v>82</v>
      </c>
      <c r="C37" s="95" t="e">
        <f>Header seksi / kelompok akun</f>
        <v>#NAME?</v>
      </c>
      <c r="D37" s="96"/>
    </row>
    <row r="38" spans="1:4" ht="16" customHeight="1" x14ac:dyDescent="0.35">
      <c r="A38" s="20"/>
      <c r="B38" s="7" t="s">
        <v>83</v>
      </c>
      <c r="C38" s="95" t="e">
        <f>Baris total / subtotal</f>
        <v>#NAME?</v>
      </c>
      <c r="D38" s="96"/>
    </row>
    <row r="39" spans="1:4" ht="16" customHeight="1" x14ac:dyDescent="0.35">
      <c r="A39" s="21"/>
      <c r="B39" s="7" t="s">
        <v>84</v>
      </c>
      <c r="C39" s="95" t="e">
        <f>Header utama dokumen</f>
        <v>#NAME?</v>
      </c>
      <c r="D39" s="96"/>
    </row>
    <row r="40" spans="1:4" ht="16" customHeight="1" x14ac:dyDescent="0.35">
      <c r="A40" s="22"/>
      <c r="B40" s="7" t="s">
        <v>85</v>
      </c>
      <c r="C40" s="95" t="e">
        <f>Jurnal penyesuaian (JP)</f>
        <v>#NAME?</v>
      </c>
      <c r="D40" s="96"/>
    </row>
  </sheetData>
  <mergeCells count="23">
    <mergeCell ref="A3:D3"/>
    <mergeCell ref="C37:D37"/>
    <mergeCell ref="C28:D28"/>
    <mergeCell ref="A2:D2"/>
    <mergeCell ref="A5:D5"/>
    <mergeCell ref="A19:D19"/>
    <mergeCell ref="A34:D34"/>
    <mergeCell ref="C25:D25"/>
    <mergeCell ref="C22:D22"/>
    <mergeCell ref="C40:D40"/>
    <mergeCell ref="C31:D31"/>
    <mergeCell ref="C21:D21"/>
    <mergeCell ref="C27:D27"/>
    <mergeCell ref="C36:D36"/>
    <mergeCell ref="C23:D23"/>
    <mergeCell ref="C39:D39"/>
    <mergeCell ref="C32:D32"/>
    <mergeCell ref="C38:D38"/>
    <mergeCell ref="C24:D24"/>
    <mergeCell ref="C30:D30"/>
    <mergeCell ref="C26:D26"/>
    <mergeCell ref="C35:D35"/>
    <mergeCell ref="C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showGridLines="0" topLeftCell="A26" workbookViewId="0">
      <selection activeCell="A28" sqref="A28:F28"/>
    </sheetView>
  </sheetViews>
  <sheetFormatPr defaultRowHeight="14.5" x14ac:dyDescent="0.35"/>
  <cols>
    <col min="1" max="1" width="24.7265625" customWidth="1"/>
    <col min="2" max="2" width="44.453125" customWidth="1"/>
    <col min="3" max="3" width="55.6328125" customWidth="1"/>
    <col min="4" max="4" width="14" customWidth="1"/>
    <col min="5" max="5" width="18.81640625" customWidth="1"/>
    <col min="6" max="6" width="18.6328125" customWidth="1"/>
    <col min="7" max="7" width="11" customWidth="1"/>
    <col min="8" max="8" width="12" customWidth="1"/>
  </cols>
  <sheetData>
    <row r="1" spans="1:3" ht="10" customHeight="1" x14ac:dyDescent="0.35"/>
    <row r="2" spans="1:3" ht="40" customHeight="1" x14ac:dyDescent="0.35">
      <c r="A2" s="103" t="s">
        <v>0</v>
      </c>
      <c r="B2" s="99"/>
      <c r="C2" s="99"/>
    </row>
    <row r="3" spans="1:3" ht="10" customHeight="1" x14ac:dyDescent="0.35"/>
    <row r="4" spans="1:3" ht="15.5" x14ac:dyDescent="0.35">
      <c r="A4" s="102" t="s">
        <v>86</v>
      </c>
      <c r="B4" s="99"/>
      <c r="C4" s="99"/>
    </row>
    <row r="6" spans="1:3" ht="18" customHeight="1" x14ac:dyDescent="0.35">
      <c r="A6" s="98" t="s">
        <v>87</v>
      </c>
      <c r="B6" s="99"/>
      <c r="C6" s="99"/>
    </row>
    <row r="7" spans="1:3" ht="16" customHeight="1" x14ac:dyDescent="0.35">
      <c r="A7" s="23" t="s">
        <v>88</v>
      </c>
      <c r="B7" s="24" t="s">
        <v>89</v>
      </c>
      <c r="C7" s="9"/>
    </row>
    <row r="8" spans="1:3" ht="16" customHeight="1" x14ac:dyDescent="0.35">
      <c r="A8" s="23" t="s">
        <v>90</v>
      </c>
      <c r="B8" s="24" t="s">
        <v>91</v>
      </c>
      <c r="C8" s="9"/>
    </row>
    <row r="9" spans="1:3" ht="16" customHeight="1" x14ac:dyDescent="0.35">
      <c r="A9" s="23" t="s">
        <v>92</v>
      </c>
      <c r="B9" s="24" t="s">
        <v>93</v>
      </c>
      <c r="C9" s="9"/>
    </row>
    <row r="10" spans="1:3" ht="16" customHeight="1" x14ac:dyDescent="0.35">
      <c r="A10" s="23" t="s">
        <v>94</v>
      </c>
      <c r="B10" s="24" t="s">
        <v>95</v>
      </c>
      <c r="C10" s="9"/>
    </row>
    <row r="11" spans="1:3" ht="16" customHeight="1" x14ac:dyDescent="0.35">
      <c r="A11" s="23" t="s">
        <v>96</v>
      </c>
      <c r="B11" s="24" t="s">
        <v>97</v>
      </c>
      <c r="C11" s="9"/>
    </row>
    <row r="12" spans="1:3" ht="16" customHeight="1" x14ac:dyDescent="0.35">
      <c r="A12" s="23" t="s">
        <v>98</v>
      </c>
      <c r="B12" s="24" t="s">
        <v>99</v>
      </c>
      <c r="C12" s="9"/>
    </row>
    <row r="13" spans="1:3" ht="16" customHeight="1" x14ac:dyDescent="0.35">
      <c r="A13" s="23" t="s">
        <v>100</v>
      </c>
      <c r="B13" s="24" t="s">
        <v>101</v>
      </c>
      <c r="C13" s="9"/>
    </row>
    <row r="14" spans="1:3" ht="16" customHeight="1" x14ac:dyDescent="0.35">
      <c r="A14" s="23" t="s">
        <v>102</v>
      </c>
      <c r="B14" s="24" t="s">
        <v>103</v>
      </c>
      <c r="C14" s="9"/>
    </row>
    <row r="15" spans="1:3" ht="16" customHeight="1" x14ac:dyDescent="0.35">
      <c r="A15" s="23" t="s">
        <v>104</v>
      </c>
      <c r="B15" s="24" t="s">
        <v>105</v>
      </c>
      <c r="C15" s="9"/>
    </row>
    <row r="17" spans="1:6" ht="18" customHeight="1" x14ac:dyDescent="0.35">
      <c r="A17" s="98" t="s">
        <v>106</v>
      </c>
      <c r="B17" s="99"/>
      <c r="C17" s="99"/>
    </row>
    <row r="18" spans="1:6" ht="16" customHeight="1" x14ac:dyDescent="0.35">
      <c r="A18" s="23" t="s">
        <v>107</v>
      </c>
      <c r="B18" s="24" t="s">
        <v>108</v>
      </c>
      <c r="C18" s="9" t="s">
        <v>109</v>
      </c>
    </row>
    <row r="19" spans="1:6" ht="16" customHeight="1" x14ac:dyDescent="0.35">
      <c r="A19" s="23" t="s">
        <v>110</v>
      </c>
      <c r="B19" s="24" t="s">
        <v>111</v>
      </c>
      <c r="C19" s="9"/>
    </row>
    <row r="20" spans="1:6" ht="16" customHeight="1" x14ac:dyDescent="0.35">
      <c r="A20" s="23" t="s">
        <v>112</v>
      </c>
      <c r="B20" s="24" t="s">
        <v>113</v>
      </c>
      <c r="C20" s="9"/>
    </row>
    <row r="21" spans="1:6" ht="16" customHeight="1" x14ac:dyDescent="0.35">
      <c r="A21" s="23" t="s">
        <v>114</v>
      </c>
      <c r="B21" s="24" t="s">
        <v>115</v>
      </c>
      <c r="C21" s="9"/>
    </row>
    <row r="22" spans="1:6" ht="16" customHeight="1" x14ac:dyDescent="0.35">
      <c r="A22" s="23" t="s">
        <v>116</v>
      </c>
      <c r="B22" s="24" t="s">
        <v>117</v>
      </c>
      <c r="C22" s="9"/>
    </row>
    <row r="23" spans="1:6" ht="16" customHeight="1" x14ac:dyDescent="0.35">
      <c r="A23" s="23" t="s">
        <v>118</v>
      </c>
      <c r="B23" s="24" t="s">
        <v>119</v>
      </c>
      <c r="C23" s="9"/>
    </row>
    <row r="24" spans="1:6" ht="16" customHeight="1" x14ac:dyDescent="0.35">
      <c r="A24" s="23" t="s">
        <v>120</v>
      </c>
      <c r="B24" s="24" t="s">
        <v>121</v>
      </c>
      <c r="C24" s="9"/>
    </row>
    <row r="25" spans="1:6" ht="16" customHeight="1" x14ac:dyDescent="0.35">
      <c r="A25" s="23" t="s">
        <v>122</v>
      </c>
      <c r="B25" s="24" t="s">
        <v>123</v>
      </c>
      <c r="C25" s="9"/>
    </row>
    <row r="26" spans="1:6" ht="16" customHeight="1" x14ac:dyDescent="0.35">
      <c r="A26" s="23" t="s">
        <v>124</v>
      </c>
      <c r="B26" s="24" t="s">
        <v>125</v>
      </c>
      <c r="C26" s="9"/>
    </row>
    <row r="28" spans="1:6" ht="18" customHeight="1" x14ac:dyDescent="0.35">
      <c r="A28" s="118" t="s">
        <v>126</v>
      </c>
      <c r="B28" s="118"/>
      <c r="C28" s="118"/>
      <c r="D28" s="118"/>
      <c r="E28" s="118"/>
      <c r="F28" s="118"/>
    </row>
    <row r="29" spans="1:6" x14ac:dyDescent="0.35">
      <c r="A29" s="1" t="s">
        <v>127</v>
      </c>
      <c r="B29" s="1" t="s">
        <v>128</v>
      </c>
      <c r="C29" s="1" t="s">
        <v>129</v>
      </c>
      <c r="D29" s="1" t="s">
        <v>130</v>
      </c>
      <c r="E29" s="1" t="s">
        <v>131</v>
      </c>
      <c r="F29" s="1" t="s">
        <v>132</v>
      </c>
    </row>
    <row r="30" spans="1:6" x14ac:dyDescent="0.35">
      <c r="A30" s="25" t="s">
        <v>133</v>
      </c>
      <c r="B30" s="26">
        <v>75000000</v>
      </c>
      <c r="C30" s="26">
        <v>5000000</v>
      </c>
      <c r="D30" s="27">
        <v>4</v>
      </c>
      <c r="E30" s="26">
        <f t="shared" ref="E30:E35" si="0">((B30-C30)/D30)/12</f>
        <v>1458333.3333333333</v>
      </c>
      <c r="F30" s="27" t="s">
        <v>134</v>
      </c>
    </row>
    <row r="31" spans="1:6" x14ac:dyDescent="0.35">
      <c r="A31" s="25" t="s">
        <v>135</v>
      </c>
      <c r="B31" s="26">
        <v>40000000</v>
      </c>
      <c r="C31" s="26">
        <v>2000000</v>
      </c>
      <c r="D31" s="27">
        <v>4</v>
      </c>
      <c r="E31" s="26">
        <f t="shared" si="0"/>
        <v>791666.66666666663</v>
      </c>
      <c r="F31" s="27" t="s">
        <v>134</v>
      </c>
    </row>
    <row r="32" spans="1:6" x14ac:dyDescent="0.35">
      <c r="A32" s="25" t="s">
        <v>136</v>
      </c>
      <c r="B32" s="26">
        <v>35000000</v>
      </c>
      <c r="C32" s="26">
        <v>3000000</v>
      </c>
      <c r="D32" s="27">
        <v>5</v>
      </c>
      <c r="E32" s="26">
        <f t="shared" si="0"/>
        <v>533333.33333333337</v>
      </c>
      <c r="F32" s="27" t="s">
        <v>134</v>
      </c>
    </row>
    <row r="33" spans="1:8" x14ac:dyDescent="0.35">
      <c r="A33" s="25" t="s">
        <v>137</v>
      </c>
      <c r="B33" s="26">
        <v>120000000</v>
      </c>
      <c r="C33" s="26">
        <v>20000000</v>
      </c>
      <c r="D33" s="27">
        <v>8</v>
      </c>
      <c r="E33" s="26">
        <f t="shared" si="0"/>
        <v>1041666.6666666666</v>
      </c>
      <c r="F33" s="27" t="s">
        <v>138</v>
      </c>
    </row>
    <row r="34" spans="1:8" x14ac:dyDescent="0.35">
      <c r="A34" s="25" t="s">
        <v>139</v>
      </c>
      <c r="B34" s="26">
        <v>28000000</v>
      </c>
      <c r="C34" s="26">
        <v>0</v>
      </c>
      <c r="D34" s="27">
        <v>5</v>
      </c>
      <c r="E34" s="26">
        <f t="shared" si="0"/>
        <v>466666.66666666669</v>
      </c>
      <c r="F34" s="27" t="s">
        <v>134</v>
      </c>
    </row>
    <row r="35" spans="1:8" x14ac:dyDescent="0.35">
      <c r="A35" s="25" t="s">
        <v>140</v>
      </c>
      <c r="B35" s="26">
        <v>55000000</v>
      </c>
      <c r="C35" s="26">
        <v>5000000</v>
      </c>
      <c r="D35" s="27">
        <v>5</v>
      </c>
      <c r="E35" s="26">
        <f t="shared" si="0"/>
        <v>833333.33333333337</v>
      </c>
      <c r="F35" s="27" t="s">
        <v>141</v>
      </c>
    </row>
    <row r="37" spans="1:8" ht="18" customHeight="1" x14ac:dyDescent="0.35">
      <c r="A37" s="118" t="s">
        <v>142</v>
      </c>
      <c r="B37" s="118"/>
      <c r="C37" s="118"/>
      <c r="D37" s="118"/>
      <c r="E37" s="118"/>
      <c r="F37" s="118"/>
      <c r="G37" s="118"/>
      <c r="H37" s="118"/>
    </row>
    <row r="38" spans="1:8" x14ac:dyDescent="0.35">
      <c r="A38" s="1" t="s">
        <v>143</v>
      </c>
      <c r="B38" s="1" t="s">
        <v>144</v>
      </c>
      <c r="C38" s="1" t="s">
        <v>145</v>
      </c>
      <c r="D38" s="1" t="s">
        <v>146</v>
      </c>
      <c r="E38" s="1" t="s">
        <v>147</v>
      </c>
      <c r="F38" s="1" t="s">
        <v>148</v>
      </c>
      <c r="G38" s="1" t="s">
        <v>149</v>
      </c>
      <c r="H38" s="1" t="s">
        <v>150</v>
      </c>
    </row>
    <row r="39" spans="1:8" ht="15" customHeight="1" x14ac:dyDescent="0.35">
      <c r="A39" s="27" t="s">
        <v>151</v>
      </c>
      <c r="B39" s="25" t="s">
        <v>152</v>
      </c>
      <c r="C39" s="25" t="s">
        <v>153</v>
      </c>
      <c r="D39" s="26">
        <v>12000000</v>
      </c>
      <c r="E39" s="26">
        <v>3000000</v>
      </c>
      <c r="F39" s="26">
        <v>15000000</v>
      </c>
      <c r="G39" s="26">
        <v>525000</v>
      </c>
      <c r="H39" s="26">
        <v>14475000</v>
      </c>
    </row>
    <row r="40" spans="1:8" ht="15" customHeight="1" x14ac:dyDescent="0.35">
      <c r="A40" s="27" t="s">
        <v>154</v>
      </c>
      <c r="B40" s="25" t="s">
        <v>155</v>
      </c>
      <c r="C40" s="25" t="s">
        <v>156</v>
      </c>
      <c r="D40" s="26">
        <v>9000000</v>
      </c>
      <c r="E40" s="26">
        <v>2000000</v>
      </c>
      <c r="F40" s="26">
        <v>11000000</v>
      </c>
      <c r="G40" s="26">
        <v>325000</v>
      </c>
      <c r="H40" s="26">
        <v>10675000</v>
      </c>
    </row>
    <row r="41" spans="1:8" ht="15" customHeight="1" x14ac:dyDescent="0.35">
      <c r="A41" s="27" t="s">
        <v>157</v>
      </c>
      <c r="B41" s="25" t="s">
        <v>158</v>
      </c>
      <c r="C41" s="25" t="s">
        <v>159</v>
      </c>
      <c r="D41" s="26">
        <v>7500000</v>
      </c>
      <c r="E41" s="26">
        <v>1500000</v>
      </c>
      <c r="F41" s="26">
        <v>9000000</v>
      </c>
      <c r="G41" s="26">
        <v>225000</v>
      </c>
      <c r="H41" s="26">
        <v>8775000</v>
      </c>
    </row>
    <row r="42" spans="1:8" ht="15" customHeight="1" x14ac:dyDescent="0.35">
      <c r="A42" s="27" t="s">
        <v>160</v>
      </c>
      <c r="B42" s="25" t="s">
        <v>161</v>
      </c>
      <c r="C42" s="25" t="s">
        <v>159</v>
      </c>
      <c r="D42" s="26">
        <v>7500000</v>
      </c>
      <c r="E42" s="26">
        <v>1500000</v>
      </c>
      <c r="F42" s="26">
        <v>9000000</v>
      </c>
      <c r="G42" s="26">
        <v>225000</v>
      </c>
      <c r="H42" s="26">
        <v>8775000</v>
      </c>
    </row>
    <row r="43" spans="1:8" ht="15" customHeight="1" x14ac:dyDescent="0.35">
      <c r="A43" s="27" t="s">
        <v>162</v>
      </c>
      <c r="B43" s="25" t="s">
        <v>163</v>
      </c>
      <c r="C43" s="25" t="s">
        <v>164</v>
      </c>
      <c r="D43" s="26">
        <v>5000000</v>
      </c>
      <c r="E43" s="26">
        <v>750000</v>
      </c>
      <c r="F43" s="26">
        <v>5750000</v>
      </c>
      <c r="G43" s="26">
        <v>62500</v>
      </c>
      <c r="H43" s="26">
        <v>5687500</v>
      </c>
    </row>
    <row r="44" spans="1:8" ht="15" customHeight="1" x14ac:dyDescent="0.35">
      <c r="A44" s="27" t="s">
        <v>165</v>
      </c>
      <c r="B44" s="25" t="s">
        <v>166</v>
      </c>
      <c r="C44" s="25" t="s">
        <v>164</v>
      </c>
      <c r="D44" s="26">
        <v>5000000</v>
      </c>
      <c r="E44" s="26">
        <v>750000</v>
      </c>
      <c r="F44" s="26">
        <v>5750000</v>
      </c>
      <c r="G44" s="26">
        <v>62500</v>
      </c>
      <c r="H44" s="26">
        <v>5687500</v>
      </c>
    </row>
    <row r="45" spans="1:8" ht="15" customHeight="1" x14ac:dyDescent="0.35">
      <c r="A45" s="27" t="s">
        <v>167</v>
      </c>
      <c r="B45" s="25" t="s">
        <v>168</v>
      </c>
      <c r="C45" s="25" t="s">
        <v>164</v>
      </c>
      <c r="D45" s="26">
        <v>5000000</v>
      </c>
      <c r="E45" s="26">
        <v>750000</v>
      </c>
      <c r="F45" s="26">
        <v>5750000</v>
      </c>
      <c r="G45" s="26">
        <v>62500</v>
      </c>
      <c r="H45" s="26">
        <v>5687500</v>
      </c>
    </row>
    <row r="46" spans="1:8" ht="15" customHeight="1" x14ac:dyDescent="0.35">
      <c r="A46" s="27" t="s">
        <v>169</v>
      </c>
      <c r="B46" s="25" t="s">
        <v>170</v>
      </c>
      <c r="C46" s="25" t="s">
        <v>171</v>
      </c>
      <c r="D46" s="26">
        <v>6500000</v>
      </c>
      <c r="E46" s="26">
        <v>1000000</v>
      </c>
      <c r="F46" s="26">
        <v>7500000</v>
      </c>
      <c r="G46" s="26">
        <v>150000</v>
      </c>
      <c r="H46" s="26">
        <v>7350000</v>
      </c>
    </row>
    <row r="47" spans="1:8" ht="15" customHeight="1" x14ac:dyDescent="0.35">
      <c r="A47" s="27" t="s">
        <v>172</v>
      </c>
      <c r="B47" s="25" t="s">
        <v>173</v>
      </c>
      <c r="C47" s="25" t="s">
        <v>174</v>
      </c>
      <c r="D47" s="26">
        <v>5500000</v>
      </c>
      <c r="E47" s="26">
        <v>800000</v>
      </c>
      <c r="F47" s="26">
        <v>6300000</v>
      </c>
      <c r="G47" s="26">
        <v>90000</v>
      </c>
      <c r="H47" s="26">
        <v>6210000</v>
      </c>
    </row>
    <row r="48" spans="1:8" ht="15" customHeight="1" x14ac:dyDescent="0.35">
      <c r="A48" s="27" t="s">
        <v>175</v>
      </c>
      <c r="B48" s="25" t="s">
        <v>176</v>
      </c>
      <c r="C48" s="25" t="s">
        <v>177</v>
      </c>
      <c r="D48" s="26">
        <v>6000000</v>
      </c>
      <c r="E48" s="26">
        <v>900000</v>
      </c>
      <c r="F48" s="26">
        <v>6900000</v>
      </c>
      <c r="G48" s="26">
        <v>120000</v>
      </c>
      <c r="H48" s="26">
        <v>6780000</v>
      </c>
    </row>
    <row r="49" spans="1:8" ht="15" customHeight="1" x14ac:dyDescent="0.35">
      <c r="A49" s="27" t="s">
        <v>178</v>
      </c>
      <c r="B49" s="25" t="s">
        <v>179</v>
      </c>
      <c r="C49" s="25" t="s">
        <v>180</v>
      </c>
      <c r="D49" s="26">
        <v>4500000</v>
      </c>
      <c r="E49" s="26">
        <v>600000</v>
      </c>
      <c r="F49" s="26">
        <v>5100000</v>
      </c>
      <c r="G49" s="26">
        <v>30000</v>
      </c>
      <c r="H49" s="26">
        <v>5070000</v>
      </c>
    </row>
    <row r="50" spans="1:8" ht="15" customHeight="1" x14ac:dyDescent="0.35">
      <c r="A50" s="27" t="s">
        <v>181</v>
      </c>
      <c r="B50" s="25" t="s">
        <v>182</v>
      </c>
      <c r="C50" s="25" t="s">
        <v>183</v>
      </c>
      <c r="D50" s="26">
        <v>5000000</v>
      </c>
      <c r="E50" s="26">
        <v>700000</v>
      </c>
      <c r="F50" s="26">
        <v>5700000</v>
      </c>
      <c r="G50" s="26">
        <v>60000</v>
      </c>
      <c r="H50" s="26">
        <v>5640000</v>
      </c>
    </row>
    <row r="51" spans="1:8" ht="16" customHeight="1" x14ac:dyDescent="0.35">
      <c r="A51" s="28" t="s">
        <v>184</v>
      </c>
      <c r="B51" s="28"/>
      <c r="C51" s="28"/>
      <c r="D51" s="29">
        <f>SUM(D39:D50)</f>
        <v>78500000</v>
      </c>
      <c r="E51" s="29">
        <f>SUM(E39:E50)</f>
        <v>14250000</v>
      </c>
      <c r="F51" s="29">
        <f>SUM(F39:F50)</f>
        <v>92750000</v>
      </c>
      <c r="G51" s="29">
        <f>SUM(G39:G50)</f>
        <v>1937500</v>
      </c>
      <c r="H51" s="29">
        <f>SUM(H39:H50)</f>
        <v>90812500</v>
      </c>
    </row>
  </sheetData>
  <mergeCells count="6">
    <mergeCell ref="A2:C2"/>
    <mergeCell ref="A37:H37"/>
    <mergeCell ref="A28:F28"/>
    <mergeCell ref="A6:C6"/>
    <mergeCell ref="A17:C17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82"/>
  <sheetViews>
    <sheetView showGridLines="0" topLeftCell="A73" workbookViewId="0"/>
  </sheetViews>
  <sheetFormatPr defaultRowHeight="14.5" x14ac:dyDescent="0.35"/>
  <cols>
    <col min="1" max="1" width="10" customWidth="1"/>
    <col min="2" max="2" width="40" customWidth="1"/>
    <col min="3" max="4" width="14" customWidth="1"/>
    <col min="5" max="5" width="22" customWidth="1"/>
  </cols>
  <sheetData>
    <row r="2" spans="1:5" ht="16.5" x14ac:dyDescent="0.35">
      <c r="A2" s="105" t="s">
        <v>185</v>
      </c>
      <c r="B2" s="99"/>
      <c r="C2" s="99"/>
      <c r="D2" s="99"/>
      <c r="E2" s="99"/>
    </row>
    <row r="3" spans="1:5" x14ac:dyDescent="0.35">
      <c r="A3" s="1" t="s">
        <v>186</v>
      </c>
      <c r="B3" s="1" t="s">
        <v>187</v>
      </c>
      <c r="C3" s="1" t="s">
        <v>188</v>
      </c>
      <c r="D3" s="1" t="s">
        <v>189</v>
      </c>
      <c r="E3" s="1" t="s">
        <v>190</v>
      </c>
    </row>
    <row r="4" spans="1:5" ht="15" customHeight="1" x14ac:dyDescent="0.35">
      <c r="A4" s="104" t="s">
        <v>191</v>
      </c>
      <c r="B4" s="99"/>
      <c r="C4" s="99"/>
      <c r="D4" s="99"/>
      <c r="E4" s="99"/>
    </row>
    <row r="5" spans="1:5" ht="15" customHeight="1" x14ac:dyDescent="0.35">
      <c r="A5" s="104" t="s">
        <v>192</v>
      </c>
      <c r="B5" s="99"/>
      <c r="C5" s="99"/>
      <c r="D5" s="99"/>
      <c r="E5" s="99"/>
    </row>
    <row r="6" spans="1:5" ht="15" customHeight="1" x14ac:dyDescent="0.35">
      <c r="A6" s="6" t="s">
        <v>193</v>
      </c>
      <c r="B6" s="16" t="s">
        <v>194</v>
      </c>
      <c r="C6" s="6" t="s">
        <v>195</v>
      </c>
      <c r="D6" s="30" t="s">
        <v>196</v>
      </c>
      <c r="E6" s="6" t="s">
        <v>197</v>
      </c>
    </row>
    <row r="7" spans="1:5" ht="15" customHeight="1" x14ac:dyDescent="0.35">
      <c r="A7" s="6" t="s">
        <v>198</v>
      </c>
      <c r="B7" s="16" t="s">
        <v>199</v>
      </c>
      <c r="C7" s="6" t="s">
        <v>195</v>
      </c>
      <c r="D7" s="30" t="s">
        <v>196</v>
      </c>
      <c r="E7" s="6" t="s">
        <v>197</v>
      </c>
    </row>
    <row r="8" spans="1:5" ht="15" customHeight="1" x14ac:dyDescent="0.35">
      <c r="A8" s="6" t="s">
        <v>200</v>
      </c>
      <c r="B8" s="16" t="s">
        <v>201</v>
      </c>
      <c r="C8" s="6" t="s">
        <v>195</v>
      </c>
      <c r="D8" s="30" t="s">
        <v>196</v>
      </c>
      <c r="E8" s="6" t="s">
        <v>197</v>
      </c>
    </row>
    <row r="9" spans="1:5" ht="15" customHeight="1" x14ac:dyDescent="0.35">
      <c r="A9" s="6" t="s">
        <v>202</v>
      </c>
      <c r="B9" s="16" t="s">
        <v>203</v>
      </c>
      <c r="C9" s="6" t="s">
        <v>195</v>
      </c>
      <c r="D9" s="30" t="s">
        <v>196</v>
      </c>
      <c r="E9" s="6" t="s">
        <v>197</v>
      </c>
    </row>
    <row r="10" spans="1:5" ht="15" customHeight="1" x14ac:dyDescent="0.35">
      <c r="A10" s="6" t="s">
        <v>204</v>
      </c>
      <c r="B10" s="16" t="s">
        <v>205</v>
      </c>
      <c r="C10" s="6" t="s">
        <v>195</v>
      </c>
      <c r="D10" s="31" t="s">
        <v>206</v>
      </c>
      <c r="E10" s="6" t="s">
        <v>197</v>
      </c>
    </row>
    <row r="11" spans="1:5" ht="15" customHeight="1" x14ac:dyDescent="0.35">
      <c r="A11" s="6" t="s">
        <v>207</v>
      </c>
      <c r="B11" s="16" t="s">
        <v>208</v>
      </c>
      <c r="C11" s="6" t="s">
        <v>195</v>
      </c>
      <c r="D11" s="30" t="s">
        <v>196</v>
      </c>
      <c r="E11" s="6" t="s">
        <v>197</v>
      </c>
    </row>
    <row r="12" spans="1:5" ht="15" customHeight="1" x14ac:dyDescent="0.35">
      <c r="A12" s="6" t="s">
        <v>209</v>
      </c>
      <c r="B12" s="16" t="s">
        <v>210</v>
      </c>
      <c r="C12" s="6" t="s">
        <v>195</v>
      </c>
      <c r="D12" s="30" t="s">
        <v>196</v>
      </c>
      <c r="E12" s="6" t="s">
        <v>197</v>
      </c>
    </row>
    <row r="13" spans="1:5" ht="15" customHeight="1" x14ac:dyDescent="0.35">
      <c r="A13" s="6" t="s">
        <v>211</v>
      </c>
      <c r="B13" s="16" t="s">
        <v>212</v>
      </c>
      <c r="C13" s="6" t="s">
        <v>195</v>
      </c>
      <c r="D13" s="30" t="s">
        <v>196</v>
      </c>
      <c r="E13" s="6" t="s">
        <v>197</v>
      </c>
    </row>
    <row r="14" spans="1:5" ht="15" customHeight="1" x14ac:dyDescent="0.35">
      <c r="A14" s="6" t="s">
        <v>213</v>
      </c>
      <c r="B14" s="16" t="s">
        <v>214</v>
      </c>
      <c r="C14" s="6" t="s">
        <v>195</v>
      </c>
      <c r="D14" s="30" t="s">
        <v>196</v>
      </c>
      <c r="E14" s="6" t="s">
        <v>197</v>
      </c>
    </row>
    <row r="15" spans="1:5" ht="15" customHeight="1" x14ac:dyDescent="0.35">
      <c r="A15" s="6" t="s">
        <v>215</v>
      </c>
      <c r="B15" s="16" t="s">
        <v>216</v>
      </c>
      <c r="C15" s="6" t="s">
        <v>195</v>
      </c>
      <c r="D15" s="30" t="s">
        <v>196</v>
      </c>
      <c r="E15" s="6" t="s">
        <v>197</v>
      </c>
    </row>
    <row r="16" spans="1:5" ht="15" customHeight="1" x14ac:dyDescent="0.35">
      <c r="A16" s="6" t="s">
        <v>217</v>
      </c>
      <c r="B16" s="16" t="s">
        <v>218</v>
      </c>
      <c r="C16" s="6" t="s">
        <v>195</v>
      </c>
      <c r="D16" s="30" t="s">
        <v>196</v>
      </c>
      <c r="E16" s="6" t="s">
        <v>197</v>
      </c>
    </row>
    <row r="17" spans="1:5" ht="15" customHeight="1" x14ac:dyDescent="0.35">
      <c r="A17" s="104" t="s">
        <v>219</v>
      </c>
      <c r="B17" s="99"/>
      <c r="C17" s="99"/>
      <c r="D17" s="99"/>
      <c r="E17" s="99"/>
    </row>
    <row r="18" spans="1:5" ht="15" customHeight="1" x14ac:dyDescent="0.35">
      <c r="A18" s="6" t="s">
        <v>220</v>
      </c>
      <c r="B18" s="16" t="s">
        <v>221</v>
      </c>
      <c r="C18" s="6" t="s">
        <v>222</v>
      </c>
      <c r="D18" s="30" t="s">
        <v>196</v>
      </c>
      <c r="E18" s="6" t="s">
        <v>197</v>
      </c>
    </row>
    <row r="19" spans="1:5" ht="15" customHeight="1" x14ac:dyDescent="0.35">
      <c r="A19" s="6" t="s">
        <v>223</v>
      </c>
      <c r="B19" s="16" t="s">
        <v>224</v>
      </c>
      <c r="C19" s="6" t="s">
        <v>222</v>
      </c>
      <c r="D19" s="31" t="s">
        <v>206</v>
      </c>
      <c r="E19" s="6" t="s">
        <v>197</v>
      </c>
    </row>
    <row r="20" spans="1:5" ht="15" customHeight="1" x14ac:dyDescent="0.35">
      <c r="A20" s="6" t="s">
        <v>225</v>
      </c>
      <c r="B20" s="16" t="s">
        <v>226</v>
      </c>
      <c r="C20" s="6" t="s">
        <v>222</v>
      </c>
      <c r="D20" s="30" t="s">
        <v>196</v>
      </c>
      <c r="E20" s="6" t="s">
        <v>197</v>
      </c>
    </row>
    <row r="21" spans="1:5" ht="15" customHeight="1" x14ac:dyDescent="0.35">
      <c r="A21" s="6" t="s">
        <v>227</v>
      </c>
      <c r="B21" s="16" t="s">
        <v>228</v>
      </c>
      <c r="C21" s="6" t="s">
        <v>222</v>
      </c>
      <c r="D21" s="31" t="s">
        <v>206</v>
      </c>
      <c r="E21" s="6" t="s">
        <v>197</v>
      </c>
    </row>
    <row r="22" spans="1:5" ht="15" customHeight="1" x14ac:dyDescent="0.35">
      <c r="A22" s="6" t="s">
        <v>229</v>
      </c>
      <c r="B22" s="16" t="s">
        <v>230</v>
      </c>
      <c r="C22" s="6" t="s">
        <v>222</v>
      </c>
      <c r="D22" s="30" t="s">
        <v>196</v>
      </c>
      <c r="E22" s="6" t="s">
        <v>197</v>
      </c>
    </row>
    <row r="23" spans="1:5" ht="15" customHeight="1" x14ac:dyDescent="0.35">
      <c r="A23" s="6" t="s">
        <v>231</v>
      </c>
      <c r="B23" s="16" t="s">
        <v>232</v>
      </c>
      <c r="C23" s="6" t="s">
        <v>222</v>
      </c>
      <c r="D23" s="31" t="s">
        <v>206</v>
      </c>
      <c r="E23" s="6" t="s">
        <v>197</v>
      </c>
    </row>
    <row r="24" spans="1:5" ht="15" customHeight="1" x14ac:dyDescent="0.35">
      <c r="A24" s="6" t="s">
        <v>233</v>
      </c>
      <c r="B24" s="16" t="s">
        <v>234</v>
      </c>
      <c r="C24" s="6" t="s">
        <v>222</v>
      </c>
      <c r="D24" s="30" t="s">
        <v>196</v>
      </c>
      <c r="E24" s="6" t="s">
        <v>197</v>
      </c>
    </row>
    <row r="25" spans="1:5" ht="15" customHeight="1" x14ac:dyDescent="0.35">
      <c r="A25" s="6" t="s">
        <v>235</v>
      </c>
      <c r="B25" s="16" t="s">
        <v>236</v>
      </c>
      <c r="C25" s="6" t="s">
        <v>222</v>
      </c>
      <c r="D25" s="31" t="s">
        <v>206</v>
      </c>
      <c r="E25" s="6" t="s">
        <v>197</v>
      </c>
    </row>
    <row r="26" spans="1:5" ht="15" customHeight="1" x14ac:dyDescent="0.35">
      <c r="A26" s="6" t="s">
        <v>237</v>
      </c>
      <c r="B26" s="16" t="s">
        <v>238</v>
      </c>
      <c r="C26" s="6" t="s">
        <v>222</v>
      </c>
      <c r="D26" s="30" t="s">
        <v>196</v>
      </c>
      <c r="E26" s="6" t="s">
        <v>197</v>
      </c>
    </row>
    <row r="27" spans="1:5" ht="15" customHeight="1" x14ac:dyDescent="0.35">
      <c r="A27" s="6" t="s">
        <v>239</v>
      </c>
      <c r="B27" s="16" t="s">
        <v>240</v>
      </c>
      <c r="C27" s="6" t="s">
        <v>222</v>
      </c>
      <c r="D27" s="31" t="s">
        <v>206</v>
      </c>
      <c r="E27" s="6" t="s">
        <v>197</v>
      </c>
    </row>
    <row r="28" spans="1:5" ht="15" customHeight="1" x14ac:dyDescent="0.35">
      <c r="A28" s="6" t="s">
        <v>241</v>
      </c>
      <c r="B28" s="16" t="s">
        <v>242</v>
      </c>
      <c r="C28" s="6" t="s">
        <v>222</v>
      </c>
      <c r="D28" s="30" t="s">
        <v>196</v>
      </c>
      <c r="E28" s="6" t="s">
        <v>197</v>
      </c>
    </row>
    <row r="29" spans="1:5" ht="15" customHeight="1" x14ac:dyDescent="0.35">
      <c r="A29" s="6" t="s">
        <v>243</v>
      </c>
      <c r="B29" s="16" t="s">
        <v>244</v>
      </c>
      <c r="C29" s="6" t="s">
        <v>222</v>
      </c>
      <c r="D29" s="31" t="s">
        <v>206</v>
      </c>
      <c r="E29" s="6" t="s">
        <v>197</v>
      </c>
    </row>
    <row r="30" spans="1:5" ht="15" customHeight="1" x14ac:dyDescent="0.35">
      <c r="A30" s="104" t="s">
        <v>245</v>
      </c>
      <c r="B30" s="99"/>
      <c r="C30" s="99"/>
      <c r="D30" s="99"/>
      <c r="E30" s="99"/>
    </row>
    <row r="31" spans="1:5" ht="15" customHeight="1" x14ac:dyDescent="0.35">
      <c r="A31" s="104" t="s">
        <v>246</v>
      </c>
      <c r="B31" s="99"/>
      <c r="C31" s="99"/>
      <c r="D31" s="99"/>
      <c r="E31" s="99"/>
    </row>
    <row r="32" spans="1:5" ht="15" customHeight="1" x14ac:dyDescent="0.35">
      <c r="A32" s="6" t="s">
        <v>247</v>
      </c>
      <c r="B32" s="16" t="s">
        <v>248</v>
      </c>
      <c r="C32" s="6" t="s">
        <v>249</v>
      </c>
      <c r="D32" s="31" t="s">
        <v>206</v>
      </c>
      <c r="E32" s="6" t="s">
        <v>197</v>
      </c>
    </row>
    <row r="33" spans="1:5" ht="15" customHeight="1" x14ac:dyDescent="0.35">
      <c r="A33" s="6" t="s">
        <v>250</v>
      </c>
      <c r="B33" s="16" t="s">
        <v>251</v>
      </c>
      <c r="C33" s="6" t="s">
        <v>249</v>
      </c>
      <c r="D33" s="31" t="s">
        <v>206</v>
      </c>
      <c r="E33" s="6" t="s">
        <v>197</v>
      </c>
    </row>
    <row r="34" spans="1:5" ht="15" customHeight="1" x14ac:dyDescent="0.35">
      <c r="A34" s="6" t="s">
        <v>252</v>
      </c>
      <c r="B34" s="16" t="s">
        <v>253</v>
      </c>
      <c r="C34" s="6" t="s">
        <v>249</v>
      </c>
      <c r="D34" s="31" t="s">
        <v>206</v>
      </c>
      <c r="E34" s="6" t="s">
        <v>197</v>
      </c>
    </row>
    <row r="35" spans="1:5" ht="15" customHeight="1" x14ac:dyDescent="0.35">
      <c r="A35" s="6" t="s">
        <v>254</v>
      </c>
      <c r="B35" s="16" t="s">
        <v>255</v>
      </c>
      <c r="C35" s="6" t="s">
        <v>249</v>
      </c>
      <c r="D35" s="31" t="s">
        <v>206</v>
      </c>
      <c r="E35" s="6" t="s">
        <v>197</v>
      </c>
    </row>
    <row r="36" spans="1:5" ht="15" customHeight="1" x14ac:dyDescent="0.35">
      <c r="A36" s="6" t="s">
        <v>256</v>
      </c>
      <c r="B36" s="16" t="s">
        <v>257</v>
      </c>
      <c r="C36" s="6" t="s">
        <v>249</v>
      </c>
      <c r="D36" s="31" t="s">
        <v>206</v>
      </c>
      <c r="E36" s="6" t="s">
        <v>197</v>
      </c>
    </row>
    <row r="37" spans="1:5" ht="15" customHeight="1" x14ac:dyDescent="0.35">
      <c r="A37" s="6" t="s">
        <v>258</v>
      </c>
      <c r="B37" s="16" t="s">
        <v>259</v>
      </c>
      <c r="C37" s="6" t="s">
        <v>249</v>
      </c>
      <c r="D37" s="31" t="s">
        <v>206</v>
      </c>
      <c r="E37" s="6" t="s">
        <v>197</v>
      </c>
    </row>
    <row r="38" spans="1:5" ht="15" customHeight="1" x14ac:dyDescent="0.35">
      <c r="A38" s="6" t="s">
        <v>260</v>
      </c>
      <c r="B38" s="16" t="s">
        <v>261</v>
      </c>
      <c r="C38" s="6" t="s">
        <v>249</v>
      </c>
      <c r="D38" s="31" t="s">
        <v>206</v>
      </c>
      <c r="E38" s="6" t="s">
        <v>197</v>
      </c>
    </row>
    <row r="39" spans="1:5" ht="15" customHeight="1" x14ac:dyDescent="0.35">
      <c r="A39" s="6" t="s">
        <v>262</v>
      </c>
      <c r="B39" s="16" t="s">
        <v>263</v>
      </c>
      <c r="C39" s="6" t="s">
        <v>249</v>
      </c>
      <c r="D39" s="31" t="s">
        <v>206</v>
      </c>
      <c r="E39" s="6" t="s">
        <v>197</v>
      </c>
    </row>
    <row r="40" spans="1:5" ht="15" customHeight="1" x14ac:dyDescent="0.35">
      <c r="A40" s="104" t="s">
        <v>264</v>
      </c>
      <c r="B40" s="99"/>
      <c r="C40" s="99"/>
      <c r="D40" s="99"/>
      <c r="E40" s="99"/>
    </row>
    <row r="41" spans="1:5" ht="15" customHeight="1" x14ac:dyDescent="0.35">
      <c r="A41" s="6" t="s">
        <v>265</v>
      </c>
      <c r="B41" s="16" t="s">
        <v>266</v>
      </c>
      <c r="C41" s="6" t="s">
        <v>249</v>
      </c>
      <c r="D41" s="31" t="s">
        <v>206</v>
      </c>
      <c r="E41" s="6" t="s">
        <v>197</v>
      </c>
    </row>
    <row r="42" spans="1:5" ht="15" customHeight="1" x14ac:dyDescent="0.35">
      <c r="A42" s="104" t="s">
        <v>267</v>
      </c>
      <c r="B42" s="99"/>
      <c r="C42" s="99"/>
      <c r="D42" s="99"/>
      <c r="E42" s="99"/>
    </row>
    <row r="43" spans="1:5" ht="15" customHeight="1" x14ac:dyDescent="0.35">
      <c r="A43" s="6" t="s">
        <v>268</v>
      </c>
      <c r="B43" s="16" t="s">
        <v>269</v>
      </c>
      <c r="C43" s="6" t="s">
        <v>270</v>
      </c>
      <c r="D43" s="31" t="s">
        <v>206</v>
      </c>
      <c r="E43" s="6" t="s">
        <v>197</v>
      </c>
    </row>
    <row r="44" spans="1:5" ht="15" customHeight="1" x14ac:dyDescent="0.35">
      <c r="A44" s="6" t="s">
        <v>271</v>
      </c>
      <c r="B44" s="16" t="s">
        <v>272</v>
      </c>
      <c r="C44" s="6" t="s">
        <v>270</v>
      </c>
      <c r="D44" s="31" t="s">
        <v>206</v>
      </c>
      <c r="E44" s="6" t="s">
        <v>197</v>
      </c>
    </row>
    <row r="45" spans="1:5" ht="15" customHeight="1" x14ac:dyDescent="0.35">
      <c r="A45" s="6" t="s">
        <v>273</v>
      </c>
      <c r="B45" s="16" t="s">
        <v>274</v>
      </c>
      <c r="C45" s="6" t="s">
        <v>270</v>
      </c>
      <c r="D45" s="31" t="s">
        <v>206</v>
      </c>
      <c r="E45" s="6" t="s">
        <v>197</v>
      </c>
    </row>
    <row r="46" spans="1:5" ht="15" customHeight="1" x14ac:dyDescent="0.35">
      <c r="A46" s="6" t="s">
        <v>275</v>
      </c>
      <c r="B46" s="16" t="s">
        <v>276</v>
      </c>
      <c r="C46" s="6" t="s">
        <v>270</v>
      </c>
      <c r="D46" s="30" t="s">
        <v>196</v>
      </c>
      <c r="E46" s="6" t="s">
        <v>197</v>
      </c>
    </row>
    <row r="47" spans="1:5" ht="15" customHeight="1" x14ac:dyDescent="0.35">
      <c r="A47" s="104" t="s">
        <v>277</v>
      </c>
      <c r="B47" s="99"/>
      <c r="C47" s="99"/>
      <c r="D47" s="99"/>
      <c r="E47" s="99"/>
    </row>
    <row r="48" spans="1:5" ht="15" customHeight="1" x14ac:dyDescent="0.35">
      <c r="A48" s="6" t="s">
        <v>278</v>
      </c>
      <c r="B48" s="16" t="s">
        <v>279</v>
      </c>
      <c r="C48" s="6" t="s">
        <v>280</v>
      </c>
      <c r="D48" s="31" t="s">
        <v>206</v>
      </c>
      <c r="E48" s="6" t="s">
        <v>281</v>
      </c>
    </row>
    <row r="49" spans="1:5" ht="15" customHeight="1" x14ac:dyDescent="0.35">
      <c r="A49" s="6" t="s">
        <v>282</v>
      </c>
      <c r="B49" s="16" t="s">
        <v>283</v>
      </c>
      <c r="C49" s="6" t="s">
        <v>280</v>
      </c>
      <c r="D49" s="31" t="s">
        <v>206</v>
      </c>
      <c r="E49" s="6" t="s">
        <v>281</v>
      </c>
    </row>
    <row r="50" spans="1:5" ht="15" customHeight="1" x14ac:dyDescent="0.35">
      <c r="A50" s="6" t="s">
        <v>284</v>
      </c>
      <c r="B50" s="16" t="s">
        <v>285</v>
      </c>
      <c r="C50" s="6" t="s">
        <v>280</v>
      </c>
      <c r="D50" s="31" t="s">
        <v>206</v>
      </c>
      <c r="E50" s="6" t="s">
        <v>281</v>
      </c>
    </row>
    <row r="51" spans="1:5" ht="15" customHeight="1" x14ac:dyDescent="0.35">
      <c r="A51" s="6" t="s">
        <v>286</v>
      </c>
      <c r="B51" s="16" t="s">
        <v>287</v>
      </c>
      <c r="C51" s="6" t="s">
        <v>280</v>
      </c>
      <c r="D51" s="31" t="s">
        <v>206</v>
      </c>
      <c r="E51" s="6" t="s">
        <v>281</v>
      </c>
    </row>
    <row r="52" spans="1:5" ht="15" customHeight="1" x14ac:dyDescent="0.35">
      <c r="A52" s="6" t="s">
        <v>288</v>
      </c>
      <c r="B52" s="16" t="s">
        <v>289</v>
      </c>
      <c r="C52" s="6" t="s">
        <v>280</v>
      </c>
      <c r="D52" s="31" t="s">
        <v>206</v>
      </c>
      <c r="E52" s="6" t="s">
        <v>281</v>
      </c>
    </row>
    <row r="53" spans="1:5" ht="15" customHeight="1" x14ac:dyDescent="0.35">
      <c r="A53" s="6" t="s">
        <v>290</v>
      </c>
      <c r="B53" s="16" t="s">
        <v>291</v>
      </c>
      <c r="C53" s="6" t="s">
        <v>280</v>
      </c>
      <c r="D53" s="31" t="s">
        <v>206</v>
      </c>
      <c r="E53" s="6" t="s">
        <v>281</v>
      </c>
    </row>
    <row r="54" spans="1:5" ht="15" customHeight="1" x14ac:dyDescent="0.35">
      <c r="A54" s="6" t="s">
        <v>292</v>
      </c>
      <c r="B54" s="16" t="s">
        <v>293</v>
      </c>
      <c r="C54" s="6" t="s">
        <v>280</v>
      </c>
      <c r="D54" s="31" t="s">
        <v>206</v>
      </c>
      <c r="E54" s="6" t="s">
        <v>281</v>
      </c>
    </row>
    <row r="55" spans="1:5" ht="15" customHeight="1" x14ac:dyDescent="0.35">
      <c r="A55" s="104" t="s">
        <v>294</v>
      </c>
      <c r="B55" s="99"/>
      <c r="C55" s="99"/>
      <c r="D55" s="99"/>
      <c r="E55" s="99"/>
    </row>
    <row r="56" spans="1:5" ht="15" customHeight="1" x14ac:dyDescent="0.35">
      <c r="A56" s="104" t="s">
        <v>295</v>
      </c>
      <c r="B56" s="99"/>
      <c r="C56" s="99"/>
      <c r="D56" s="99"/>
      <c r="E56" s="99"/>
    </row>
    <row r="57" spans="1:5" ht="15" customHeight="1" x14ac:dyDescent="0.35">
      <c r="A57" s="6" t="s">
        <v>296</v>
      </c>
      <c r="B57" s="16" t="s">
        <v>297</v>
      </c>
      <c r="C57" s="6" t="s">
        <v>298</v>
      </c>
      <c r="D57" s="30" t="s">
        <v>196</v>
      </c>
      <c r="E57" s="6" t="s">
        <v>281</v>
      </c>
    </row>
    <row r="58" spans="1:5" ht="15" customHeight="1" x14ac:dyDescent="0.35">
      <c r="A58" s="6" t="s">
        <v>299</v>
      </c>
      <c r="B58" s="16" t="s">
        <v>300</v>
      </c>
      <c r="C58" s="6" t="s">
        <v>298</v>
      </c>
      <c r="D58" s="30" t="s">
        <v>196</v>
      </c>
      <c r="E58" s="6" t="s">
        <v>281</v>
      </c>
    </row>
    <row r="59" spans="1:5" ht="15" customHeight="1" x14ac:dyDescent="0.35">
      <c r="A59" s="6" t="s">
        <v>301</v>
      </c>
      <c r="B59" s="16" t="s">
        <v>302</v>
      </c>
      <c r="C59" s="6" t="s">
        <v>298</v>
      </c>
      <c r="D59" s="30" t="s">
        <v>196</v>
      </c>
      <c r="E59" s="6" t="s">
        <v>281</v>
      </c>
    </row>
    <row r="60" spans="1:5" ht="15" customHeight="1" x14ac:dyDescent="0.35">
      <c r="A60" s="6" t="s">
        <v>303</v>
      </c>
      <c r="B60" s="16" t="s">
        <v>304</v>
      </c>
      <c r="C60" s="6" t="s">
        <v>298</v>
      </c>
      <c r="D60" s="30" t="s">
        <v>196</v>
      </c>
      <c r="E60" s="6" t="s">
        <v>281</v>
      </c>
    </row>
    <row r="61" spans="1:5" ht="15" customHeight="1" x14ac:dyDescent="0.35">
      <c r="A61" s="104" t="s">
        <v>305</v>
      </c>
      <c r="B61" s="99"/>
      <c r="C61" s="99"/>
      <c r="D61" s="99"/>
      <c r="E61" s="99"/>
    </row>
    <row r="62" spans="1:5" ht="15" customHeight="1" x14ac:dyDescent="0.35">
      <c r="A62" s="6" t="s">
        <v>306</v>
      </c>
      <c r="B62" s="16" t="s">
        <v>307</v>
      </c>
      <c r="C62" s="6" t="s">
        <v>298</v>
      </c>
      <c r="D62" s="30" t="s">
        <v>196</v>
      </c>
      <c r="E62" s="6" t="s">
        <v>281</v>
      </c>
    </row>
    <row r="63" spans="1:5" ht="15" customHeight="1" x14ac:dyDescent="0.35">
      <c r="A63" s="6" t="s">
        <v>308</v>
      </c>
      <c r="B63" s="16" t="s">
        <v>309</v>
      </c>
      <c r="C63" s="6" t="s">
        <v>298</v>
      </c>
      <c r="D63" s="30" t="s">
        <v>196</v>
      </c>
      <c r="E63" s="6" t="s">
        <v>281</v>
      </c>
    </row>
    <row r="64" spans="1:5" ht="15" customHeight="1" x14ac:dyDescent="0.35">
      <c r="A64" s="6" t="s">
        <v>310</v>
      </c>
      <c r="B64" s="16" t="s">
        <v>311</v>
      </c>
      <c r="C64" s="6" t="s">
        <v>298</v>
      </c>
      <c r="D64" s="30" t="s">
        <v>196</v>
      </c>
      <c r="E64" s="6" t="s">
        <v>281</v>
      </c>
    </row>
    <row r="65" spans="1:5" ht="15" customHeight="1" x14ac:dyDescent="0.35">
      <c r="A65" s="6" t="s">
        <v>312</v>
      </c>
      <c r="B65" s="16" t="s">
        <v>313</v>
      </c>
      <c r="C65" s="6" t="s">
        <v>298</v>
      </c>
      <c r="D65" s="30" t="s">
        <v>196</v>
      </c>
      <c r="E65" s="6" t="s">
        <v>281</v>
      </c>
    </row>
    <row r="66" spans="1:5" ht="15" customHeight="1" x14ac:dyDescent="0.35">
      <c r="A66" s="6" t="s">
        <v>314</v>
      </c>
      <c r="B66" s="16" t="s">
        <v>315</v>
      </c>
      <c r="C66" s="6" t="s">
        <v>298</v>
      </c>
      <c r="D66" s="30" t="s">
        <v>196</v>
      </c>
      <c r="E66" s="6" t="s">
        <v>281</v>
      </c>
    </row>
    <row r="67" spans="1:5" ht="15" customHeight="1" x14ac:dyDescent="0.35">
      <c r="A67" s="6" t="s">
        <v>316</v>
      </c>
      <c r="B67" s="16" t="s">
        <v>317</v>
      </c>
      <c r="C67" s="6" t="s">
        <v>298</v>
      </c>
      <c r="D67" s="30" t="s">
        <v>196</v>
      </c>
      <c r="E67" s="6" t="s">
        <v>281</v>
      </c>
    </row>
    <row r="68" spans="1:5" ht="15" customHeight="1" x14ac:dyDescent="0.35">
      <c r="A68" s="6" t="s">
        <v>318</v>
      </c>
      <c r="B68" s="16" t="s">
        <v>319</v>
      </c>
      <c r="C68" s="6" t="s">
        <v>298</v>
      </c>
      <c r="D68" s="30" t="s">
        <v>196</v>
      </c>
      <c r="E68" s="6" t="s">
        <v>281</v>
      </c>
    </row>
    <row r="69" spans="1:5" ht="15" customHeight="1" x14ac:dyDescent="0.35">
      <c r="A69" s="6" t="s">
        <v>320</v>
      </c>
      <c r="B69" s="16" t="s">
        <v>321</v>
      </c>
      <c r="C69" s="6" t="s">
        <v>298</v>
      </c>
      <c r="D69" s="30" t="s">
        <v>196</v>
      </c>
      <c r="E69" s="6" t="s">
        <v>281</v>
      </c>
    </row>
    <row r="70" spans="1:5" ht="15" customHeight="1" x14ac:dyDescent="0.35">
      <c r="A70" s="6" t="s">
        <v>322</v>
      </c>
      <c r="B70" s="16" t="s">
        <v>323</v>
      </c>
      <c r="C70" s="6" t="s">
        <v>298</v>
      </c>
      <c r="D70" s="30" t="s">
        <v>196</v>
      </c>
      <c r="E70" s="6" t="s">
        <v>281</v>
      </c>
    </row>
    <row r="71" spans="1:5" ht="15" customHeight="1" x14ac:dyDescent="0.35">
      <c r="A71" s="104" t="s">
        <v>324</v>
      </c>
      <c r="B71" s="99"/>
      <c r="C71" s="99"/>
      <c r="D71" s="99"/>
      <c r="E71" s="99"/>
    </row>
    <row r="72" spans="1:5" ht="15" customHeight="1" x14ac:dyDescent="0.35">
      <c r="A72" s="6" t="s">
        <v>325</v>
      </c>
      <c r="B72" s="16" t="s">
        <v>326</v>
      </c>
      <c r="C72" s="6" t="s">
        <v>298</v>
      </c>
      <c r="D72" s="30" t="s">
        <v>196</v>
      </c>
      <c r="E72" s="6" t="s">
        <v>281</v>
      </c>
    </row>
    <row r="73" spans="1:5" ht="15" customHeight="1" x14ac:dyDescent="0.35">
      <c r="A73" s="6" t="s">
        <v>327</v>
      </c>
      <c r="B73" s="16" t="s">
        <v>328</v>
      </c>
      <c r="C73" s="6" t="s">
        <v>298</v>
      </c>
      <c r="D73" s="30" t="s">
        <v>196</v>
      </c>
      <c r="E73" s="6" t="s">
        <v>281</v>
      </c>
    </row>
    <row r="74" spans="1:5" ht="15" customHeight="1" x14ac:dyDescent="0.35">
      <c r="A74" s="6" t="s">
        <v>329</v>
      </c>
      <c r="B74" s="16" t="s">
        <v>330</v>
      </c>
      <c r="C74" s="6" t="s">
        <v>298</v>
      </c>
      <c r="D74" s="30" t="s">
        <v>196</v>
      </c>
      <c r="E74" s="6" t="s">
        <v>281</v>
      </c>
    </row>
    <row r="75" spans="1:5" ht="15" customHeight="1" x14ac:dyDescent="0.35">
      <c r="A75" s="6" t="s">
        <v>331</v>
      </c>
      <c r="B75" s="16" t="s">
        <v>332</v>
      </c>
      <c r="C75" s="6" t="s">
        <v>298</v>
      </c>
      <c r="D75" s="30" t="s">
        <v>196</v>
      </c>
      <c r="E75" s="6" t="s">
        <v>281</v>
      </c>
    </row>
    <row r="76" spans="1:5" ht="15" customHeight="1" x14ac:dyDescent="0.35">
      <c r="A76" s="6" t="s">
        <v>333</v>
      </c>
      <c r="B76" s="16" t="s">
        <v>334</v>
      </c>
      <c r="C76" s="6" t="s">
        <v>298</v>
      </c>
      <c r="D76" s="30" t="s">
        <v>196</v>
      </c>
      <c r="E76" s="6" t="s">
        <v>281</v>
      </c>
    </row>
    <row r="77" spans="1:5" ht="15" customHeight="1" x14ac:dyDescent="0.35">
      <c r="A77" s="6" t="s">
        <v>335</v>
      </c>
      <c r="B77" s="16" t="s">
        <v>336</v>
      </c>
      <c r="C77" s="6" t="s">
        <v>298</v>
      </c>
      <c r="D77" s="30" t="s">
        <v>196</v>
      </c>
      <c r="E77" s="6" t="s">
        <v>281</v>
      </c>
    </row>
    <row r="78" spans="1:5" ht="15" customHeight="1" x14ac:dyDescent="0.35">
      <c r="A78" s="104" t="s">
        <v>337</v>
      </c>
      <c r="B78" s="99"/>
      <c r="C78" s="99"/>
      <c r="D78" s="99"/>
      <c r="E78" s="99"/>
    </row>
    <row r="79" spans="1:5" ht="15" customHeight="1" x14ac:dyDescent="0.35">
      <c r="A79" s="6" t="s">
        <v>338</v>
      </c>
      <c r="B79" s="16" t="s">
        <v>339</v>
      </c>
      <c r="C79" s="6" t="s">
        <v>298</v>
      </c>
      <c r="D79" s="30" t="s">
        <v>196</v>
      </c>
      <c r="E79" s="6" t="s">
        <v>281</v>
      </c>
    </row>
    <row r="80" spans="1:5" ht="15" customHeight="1" x14ac:dyDescent="0.35">
      <c r="A80" s="6" t="s">
        <v>340</v>
      </c>
      <c r="B80" s="16" t="s">
        <v>341</v>
      </c>
      <c r="C80" s="6" t="s">
        <v>298</v>
      </c>
      <c r="D80" s="30" t="s">
        <v>196</v>
      </c>
      <c r="E80" s="6" t="s">
        <v>281</v>
      </c>
    </row>
    <row r="81" spans="1:5" ht="15" customHeight="1" x14ac:dyDescent="0.35">
      <c r="A81" s="6" t="s">
        <v>342</v>
      </c>
      <c r="B81" s="16" t="s">
        <v>343</v>
      </c>
      <c r="C81" s="6" t="s">
        <v>298</v>
      </c>
      <c r="D81" s="30" t="s">
        <v>196</v>
      </c>
      <c r="E81" s="6" t="s">
        <v>281</v>
      </c>
    </row>
    <row r="82" spans="1:5" ht="15" customHeight="1" x14ac:dyDescent="0.35">
      <c r="A82" s="6" t="s">
        <v>344</v>
      </c>
      <c r="B82" s="16" t="s">
        <v>345</v>
      </c>
      <c r="C82" s="6" t="s">
        <v>298</v>
      </c>
      <c r="D82" s="30" t="s">
        <v>196</v>
      </c>
      <c r="E82" s="6" t="s">
        <v>281</v>
      </c>
    </row>
  </sheetData>
  <mergeCells count="14">
    <mergeCell ref="A30:E30"/>
    <mergeCell ref="A55:E55"/>
    <mergeCell ref="A4:E4"/>
    <mergeCell ref="A78:E78"/>
    <mergeCell ref="A2:E2"/>
    <mergeCell ref="A42:E42"/>
    <mergeCell ref="A40:E40"/>
    <mergeCell ref="A71:E71"/>
    <mergeCell ref="A47:E47"/>
    <mergeCell ref="A5:E5"/>
    <mergeCell ref="A31:E31"/>
    <mergeCell ref="A61:E61"/>
    <mergeCell ref="A17:E17"/>
    <mergeCell ref="A56:E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33"/>
  <sheetViews>
    <sheetView showGridLines="0" topLeftCell="A28" workbookViewId="0"/>
  </sheetViews>
  <sheetFormatPr defaultRowHeight="14.5" x14ac:dyDescent="0.35"/>
  <cols>
    <col min="1" max="1" width="10" customWidth="1"/>
    <col min="2" max="2" width="42" customWidth="1"/>
    <col min="3" max="4" width="18" customWidth="1"/>
  </cols>
  <sheetData>
    <row r="2" spans="1:4" ht="18" x14ac:dyDescent="0.35">
      <c r="A2" s="107" t="s">
        <v>0</v>
      </c>
      <c r="B2" s="99"/>
      <c r="C2" s="99"/>
      <c r="D2" s="99"/>
    </row>
    <row r="3" spans="1:4" x14ac:dyDescent="0.35">
      <c r="A3" s="100" t="s">
        <v>346</v>
      </c>
      <c r="B3" s="106"/>
      <c r="C3" s="106"/>
      <c r="D3" s="106"/>
    </row>
    <row r="4" spans="1:4" ht="18" customHeight="1" x14ac:dyDescent="0.35">
      <c r="A4" s="1" t="s">
        <v>186</v>
      </c>
      <c r="B4" s="1" t="s">
        <v>187</v>
      </c>
      <c r="C4" s="1" t="s">
        <v>347</v>
      </c>
      <c r="D4" s="1" t="s">
        <v>348</v>
      </c>
    </row>
    <row r="5" spans="1:4" ht="15" customHeight="1" x14ac:dyDescent="0.35">
      <c r="A5" s="2" t="s">
        <v>193</v>
      </c>
      <c r="B5" s="13" t="s">
        <v>349</v>
      </c>
      <c r="C5" s="32">
        <v>25000000</v>
      </c>
      <c r="D5" s="32"/>
    </row>
    <row r="6" spans="1:4" ht="15" customHeight="1" x14ac:dyDescent="0.35">
      <c r="A6" s="6" t="s">
        <v>198</v>
      </c>
      <c r="B6" s="16" t="s">
        <v>350</v>
      </c>
      <c r="C6" s="33">
        <v>285000000</v>
      </c>
      <c r="D6" s="33"/>
    </row>
    <row r="7" spans="1:4" ht="15" customHeight="1" x14ac:dyDescent="0.35">
      <c r="A7" s="2" t="s">
        <v>200</v>
      </c>
      <c r="B7" s="13" t="s">
        <v>351</v>
      </c>
      <c r="C7" s="32">
        <v>150000000</v>
      </c>
      <c r="D7" s="32"/>
    </row>
    <row r="8" spans="1:4" ht="15" customHeight="1" x14ac:dyDescent="0.35">
      <c r="A8" s="6" t="s">
        <v>202</v>
      </c>
      <c r="B8" s="16" t="s">
        <v>352</v>
      </c>
      <c r="C8" s="33">
        <v>95000000</v>
      </c>
      <c r="D8" s="33"/>
    </row>
    <row r="9" spans="1:4" ht="15" customHeight="1" x14ac:dyDescent="0.35">
      <c r="A9" s="2" t="s">
        <v>204</v>
      </c>
      <c r="B9" s="13" t="s">
        <v>353</v>
      </c>
      <c r="C9" s="32"/>
      <c r="D9" s="32">
        <v>1900000</v>
      </c>
    </row>
    <row r="10" spans="1:4" ht="15" customHeight="1" x14ac:dyDescent="0.35">
      <c r="A10" s="6" t="s">
        <v>209</v>
      </c>
      <c r="B10" s="16" t="s">
        <v>354</v>
      </c>
      <c r="C10" s="33">
        <v>8500000</v>
      </c>
      <c r="D10" s="33"/>
    </row>
    <row r="11" spans="1:4" ht="15" customHeight="1" x14ac:dyDescent="0.35">
      <c r="A11" s="2" t="s">
        <v>211</v>
      </c>
      <c r="B11" s="13" t="s">
        <v>355</v>
      </c>
      <c r="C11" s="32">
        <v>24000000</v>
      </c>
      <c r="D11" s="32"/>
    </row>
    <row r="12" spans="1:4" ht="15" customHeight="1" x14ac:dyDescent="0.35">
      <c r="A12" s="6" t="s">
        <v>213</v>
      </c>
      <c r="B12" s="16" t="s">
        <v>356</v>
      </c>
      <c r="C12" s="33">
        <v>6000000</v>
      </c>
      <c r="D12" s="33"/>
    </row>
    <row r="13" spans="1:4" ht="15" customHeight="1" x14ac:dyDescent="0.35">
      <c r="A13" s="2" t="s">
        <v>220</v>
      </c>
      <c r="B13" s="13" t="s">
        <v>357</v>
      </c>
      <c r="C13" s="32">
        <v>75000000</v>
      </c>
      <c r="D13" s="32"/>
    </row>
    <row r="14" spans="1:4" ht="15" customHeight="1" x14ac:dyDescent="0.35">
      <c r="A14" s="6" t="s">
        <v>223</v>
      </c>
      <c r="B14" s="16" t="s">
        <v>358</v>
      </c>
      <c r="C14" s="33"/>
      <c r="D14" s="33">
        <v>17500000</v>
      </c>
    </row>
    <row r="15" spans="1:4" ht="15" customHeight="1" x14ac:dyDescent="0.35">
      <c r="A15" s="2" t="s">
        <v>225</v>
      </c>
      <c r="B15" s="13" t="s">
        <v>359</v>
      </c>
      <c r="C15" s="32">
        <v>40000000</v>
      </c>
      <c r="D15" s="32"/>
    </row>
    <row r="16" spans="1:4" ht="15" customHeight="1" x14ac:dyDescent="0.35">
      <c r="A16" s="6" t="s">
        <v>227</v>
      </c>
      <c r="B16" s="16" t="s">
        <v>360</v>
      </c>
      <c r="C16" s="33"/>
      <c r="D16" s="33">
        <v>9000000</v>
      </c>
    </row>
    <row r="17" spans="1:4" ht="15" customHeight="1" x14ac:dyDescent="0.35">
      <c r="A17" s="2" t="s">
        <v>229</v>
      </c>
      <c r="B17" s="13" t="s">
        <v>361</v>
      </c>
      <c r="C17" s="32">
        <v>35000000</v>
      </c>
      <c r="D17" s="32"/>
    </row>
    <row r="18" spans="1:4" ht="15" customHeight="1" x14ac:dyDescent="0.35">
      <c r="A18" s="6" t="s">
        <v>231</v>
      </c>
      <c r="B18" s="16" t="s">
        <v>362</v>
      </c>
      <c r="C18" s="33"/>
      <c r="D18" s="33">
        <v>5333333</v>
      </c>
    </row>
    <row r="19" spans="1:4" ht="15" customHeight="1" x14ac:dyDescent="0.35">
      <c r="A19" s="2" t="s">
        <v>233</v>
      </c>
      <c r="B19" s="13" t="s">
        <v>363</v>
      </c>
      <c r="C19" s="32">
        <v>120000000</v>
      </c>
      <c r="D19" s="32"/>
    </row>
    <row r="20" spans="1:4" ht="15" customHeight="1" x14ac:dyDescent="0.35">
      <c r="A20" s="6" t="s">
        <v>235</v>
      </c>
      <c r="B20" s="16" t="s">
        <v>364</v>
      </c>
      <c r="C20" s="33"/>
      <c r="D20" s="33">
        <v>12500000</v>
      </c>
    </row>
    <row r="21" spans="1:4" ht="15" customHeight="1" x14ac:dyDescent="0.35">
      <c r="A21" s="2" t="s">
        <v>237</v>
      </c>
      <c r="B21" s="13" t="s">
        <v>365</v>
      </c>
      <c r="C21" s="32">
        <v>28000000</v>
      </c>
      <c r="D21" s="32"/>
    </row>
    <row r="22" spans="1:4" ht="15" customHeight="1" x14ac:dyDescent="0.35">
      <c r="A22" s="6" t="s">
        <v>239</v>
      </c>
      <c r="B22" s="16" t="s">
        <v>366</v>
      </c>
      <c r="C22" s="33"/>
      <c r="D22" s="33">
        <v>5600000</v>
      </c>
    </row>
    <row r="23" spans="1:4" ht="15" customHeight="1" x14ac:dyDescent="0.35">
      <c r="A23" s="2" t="s">
        <v>241</v>
      </c>
      <c r="B23" s="13" t="s">
        <v>367</v>
      </c>
      <c r="C23" s="32">
        <v>55000000</v>
      </c>
      <c r="D23" s="32"/>
    </row>
    <row r="24" spans="1:4" ht="15" customHeight="1" x14ac:dyDescent="0.35">
      <c r="A24" s="6" t="s">
        <v>243</v>
      </c>
      <c r="B24" s="16" t="s">
        <v>368</v>
      </c>
      <c r="C24" s="33"/>
      <c r="D24" s="33">
        <v>3750000</v>
      </c>
    </row>
    <row r="25" spans="1:4" ht="15" customHeight="1" x14ac:dyDescent="0.35">
      <c r="A25" s="2" t="s">
        <v>247</v>
      </c>
      <c r="B25" s="13" t="s">
        <v>369</v>
      </c>
      <c r="C25" s="32"/>
      <c r="D25" s="32">
        <v>12000000</v>
      </c>
    </row>
    <row r="26" spans="1:4" ht="15" customHeight="1" x14ac:dyDescent="0.35">
      <c r="A26" s="6" t="s">
        <v>250</v>
      </c>
      <c r="B26" s="16" t="s">
        <v>370</v>
      </c>
      <c r="C26" s="33"/>
      <c r="D26" s="33"/>
    </row>
    <row r="27" spans="1:4" ht="15" customHeight="1" x14ac:dyDescent="0.35">
      <c r="A27" s="2" t="s">
        <v>252</v>
      </c>
      <c r="B27" s="13" t="s">
        <v>371</v>
      </c>
      <c r="C27" s="32"/>
      <c r="D27" s="32">
        <v>3750000</v>
      </c>
    </row>
    <row r="28" spans="1:4" ht="15" customHeight="1" x14ac:dyDescent="0.35">
      <c r="A28" s="6" t="s">
        <v>258</v>
      </c>
      <c r="B28" s="16" t="s">
        <v>372</v>
      </c>
      <c r="C28" s="33"/>
      <c r="D28" s="33">
        <v>18000000</v>
      </c>
    </row>
    <row r="29" spans="1:4" ht="15" customHeight="1" x14ac:dyDescent="0.35">
      <c r="A29" s="2" t="s">
        <v>265</v>
      </c>
      <c r="B29" s="13" t="s">
        <v>373</v>
      </c>
      <c r="C29" s="32"/>
      <c r="D29" s="32">
        <v>100000000</v>
      </c>
    </row>
    <row r="30" spans="1:4" ht="15" customHeight="1" x14ac:dyDescent="0.35">
      <c r="A30" s="6" t="s">
        <v>268</v>
      </c>
      <c r="B30" s="16" t="s">
        <v>374</v>
      </c>
      <c r="C30" s="33"/>
      <c r="D30" s="33">
        <v>500000000</v>
      </c>
    </row>
    <row r="31" spans="1:4" ht="15" customHeight="1" x14ac:dyDescent="0.35">
      <c r="A31" s="2" t="s">
        <v>271</v>
      </c>
      <c r="B31" s="13" t="s">
        <v>375</v>
      </c>
      <c r="C31" s="32"/>
      <c r="D31" s="32">
        <v>156166667</v>
      </c>
    </row>
    <row r="32" spans="1:4" ht="18" customHeight="1" x14ac:dyDescent="0.35">
      <c r="A32" s="34"/>
      <c r="B32" s="35" t="s">
        <v>184</v>
      </c>
      <c r="C32" s="29">
        <f>SUM(C5:C31)</f>
        <v>946500000</v>
      </c>
      <c r="D32" s="29">
        <f>SUM(D5:D31)</f>
        <v>845500000</v>
      </c>
    </row>
    <row r="33" spans="1:4" x14ac:dyDescent="0.35">
      <c r="A33" s="36"/>
      <c r="B33" s="37" t="s">
        <v>376</v>
      </c>
      <c r="C33" s="38">
        <f>C32-D32</f>
        <v>101000000</v>
      </c>
      <c r="D33" s="39" t="s">
        <v>377</v>
      </c>
    </row>
  </sheetData>
  <mergeCells count="2"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119"/>
  <sheetViews>
    <sheetView showGridLines="0" topLeftCell="A116" workbookViewId="0">
      <selection activeCell="D121" sqref="D121"/>
    </sheetView>
  </sheetViews>
  <sheetFormatPr defaultRowHeight="14.5" x14ac:dyDescent="0.35"/>
  <cols>
    <col min="1" max="1" width="6" customWidth="1"/>
    <col min="2" max="2" width="12" customWidth="1"/>
    <col min="3" max="3" width="10" customWidth="1"/>
    <col min="4" max="4" width="42" customWidth="1"/>
    <col min="5" max="5" width="38" customWidth="1"/>
    <col min="6" max="6" width="10" customWidth="1"/>
    <col min="7" max="8" width="18" customWidth="1"/>
  </cols>
  <sheetData>
    <row r="2" spans="1:8" ht="16.5" x14ac:dyDescent="0.35">
      <c r="A2" s="105" t="s">
        <v>0</v>
      </c>
      <c r="B2" s="99"/>
      <c r="C2" s="99"/>
      <c r="D2" s="99"/>
      <c r="E2" s="99"/>
      <c r="F2" s="99"/>
      <c r="G2" s="99"/>
      <c r="H2" s="99"/>
    </row>
    <row r="3" spans="1:8" x14ac:dyDescent="0.35">
      <c r="A3" s="100" t="s">
        <v>378</v>
      </c>
      <c r="B3" s="106"/>
      <c r="C3" s="106"/>
      <c r="D3" s="106"/>
      <c r="E3" s="106"/>
      <c r="F3" s="106"/>
      <c r="G3" s="106"/>
      <c r="H3" s="106"/>
    </row>
    <row r="4" spans="1:8" ht="30" customHeight="1" x14ac:dyDescent="0.35">
      <c r="A4" s="40" t="s">
        <v>3</v>
      </c>
      <c r="B4" s="40" t="s">
        <v>379</v>
      </c>
      <c r="C4" s="40" t="s">
        <v>380</v>
      </c>
      <c r="D4" s="40" t="s">
        <v>381</v>
      </c>
      <c r="E4" s="40" t="s">
        <v>382</v>
      </c>
      <c r="F4" s="40" t="s">
        <v>186</v>
      </c>
      <c r="G4" s="40" t="s">
        <v>347</v>
      </c>
      <c r="H4" s="40" t="s">
        <v>348</v>
      </c>
    </row>
    <row r="5" spans="1:8" ht="22" customHeight="1" x14ac:dyDescent="0.35">
      <c r="A5" s="41">
        <v>1</v>
      </c>
      <c r="B5" s="41" t="s">
        <v>383</v>
      </c>
      <c r="C5" s="42" t="s">
        <v>384</v>
      </c>
      <c r="D5" s="43" t="s">
        <v>385</v>
      </c>
      <c r="E5" s="44" t="s">
        <v>386</v>
      </c>
      <c r="F5" s="19"/>
      <c r="G5" s="19"/>
      <c r="H5" s="19"/>
    </row>
    <row r="6" spans="1:8" ht="16" customHeight="1" x14ac:dyDescent="0.35">
      <c r="A6" s="24"/>
      <c r="B6" s="24"/>
      <c r="C6" s="24"/>
      <c r="D6" s="9" t="s">
        <v>350</v>
      </c>
      <c r="E6" s="24"/>
      <c r="F6" s="6" t="s">
        <v>198</v>
      </c>
      <c r="G6" s="45">
        <v>44400000</v>
      </c>
      <c r="H6" s="24"/>
    </row>
    <row r="7" spans="1:8" ht="16" customHeight="1" x14ac:dyDescent="0.35">
      <c r="A7" s="24"/>
      <c r="B7" s="24"/>
      <c r="C7" s="24"/>
      <c r="D7" s="9" t="s">
        <v>372</v>
      </c>
      <c r="E7" s="24"/>
      <c r="F7" s="6" t="s">
        <v>258</v>
      </c>
      <c r="G7" s="24"/>
      <c r="H7" s="46">
        <v>40000000</v>
      </c>
    </row>
    <row r="8" spans="1:8" ht="16" customHeight="1" x14ac:dyDescent="0.35">
      <c r="A8" s="24"/>
      <c r="B8" s="24"/>
      <c r="C8" s="24"/>
      <c r="D8" s="9" t="s">
        <v>387</v>
      </c>
      <c r="E8" s="24"/>
      <c r="F8" s="6" t="s">
        <v>256</v>
      </c>
      <c r="G8" s="24"/>
      <c r="H8" s="46">
        <v>4400000</v>
      </c>
    </row>
    <row r="9" spans="1:8" ht="22" customHeight="1" x14ac:dyDescent="0.35">
      <c r="A9" s="41">
        <v>2</v>
      </c>
      <c r="B9" s="41" t="s">
        <v>383</v>
      </c>
      <c r="C9" s="42" t="s">
        <v>388</v>
      </c>
      <c r="D9" s="43" t="s">
        <v>389</v>
      </c>
      <c r="E9" s="44" t="s">
        <v>390</v>
      </c>
      <c r="F9" s="19"/>
      <c r="G9" s="19"/>
      <c r="H9" s="19"/>
    </row>
    <row r="10" spans="1:8" ht="16" customHeight="1" x14ac:dyDescent="0.35">
      <c r="A10" s="24"/>
      <c r="B10" s="24"/>
      <c r="C10" s="24"/>
      <c r="D10" s="9" t="s">
        <v>391</v>
      </c>
      <c r="E10" s="24"/>
      <c r="F10" s="6" t="s">
        <v>308</v>
      </c>
      <c r="G10" s="45">
        <v>18000000</v>
      </c>
      <c r="H10" s="24"/>
    </row>
    <row r="11" spans="1:8" ht="16" customHeight="1" x14ac:dyDescent="0.35">
      <c r="A11" s="24"/>
      <c r="B11" s="24"/>
      <c r="C11" s="24"/>
      <c r="D11" s="9" t="s">
        <v>350</v>
      </c>
      <c r="E11" s="24"/>
      <c r="F11" s="6" t="s">
        <v>198</v>
      </c>
      <c r="G11" s="24"/>
      <c r="H11" s="46">
        <v>18000000</v>
      </c>
    </row>
    <row r="12" spans="1:8" ht="22" customHeight="1" x14ac:dyDescent="0.35">
      <c r="A12" s="41">
        <v>3</v>
      </c>
      <c r="B12" s="41" t="s">
        <v>392</v>
      </c>
      <c r="C12" s="42" t="s">
        <v>393</v>
      </c>
      <c r="D12" s="43" t="s">
        <v>394</v>
      </c>
      <c r="E12" s="44" t="s">
        <v>395</v>
      </c>
      <c r="F12" s="19"/>
      <c r="G12" s="19"/>
      <c r="H12" s="19"/>
    </row>
    <row r="13" spans="1:8" ht="16" customHeight="1" x14ac:dyDescent="0.35">
      <c r="A13" s="24"/>
      <c r="B13" s="24"/>
      <c r="C13" s="24"/>
      <c r="D13" s="9" t="s">
        <v>350</v>
      </c>
      <c r="E13" s="24"/>
      <c r="F13" s="6" t="s">
        <v>198</v>
      </c>
      <c r="G13" s="45">
        <v>55500000</v>
      </c>
      <c r="H13" s="24"/>
    </row>
    <row r="14" spans="1:8" ht="16" customHeight="1" x14ac:dyDescent="0.35">
      <c r="A14" s="24"/>
      <c r="B14" s="24"/>
      <c r="C14" s="24"/>
      <c r="D14" s="9" t="s">
        <v>352</v>
      </c>
      <c r="E14" s="24"/>
      <c r="F14" s="6" t="s">
        <v>202</v>
      </c>
      <c r="G14" s="24"/>
      <c r="H14" s="46">
        <v>55500000</v>
      </c>
    </row>
    <row r="15" spans="1:8" ht="22" customHeight="1" x14ac:dyDescent="0.35">
      <c r="A15" s="41">
        <v>4</v>
      </c>
      <c r="B15" s="41" t="s">
        <v>392</v>
      </c>
      <c r="C15" s="42" t="s">
        <v>396</v>
      </c>
      <c r="D15" s="43" t="s">
        <v>397</v>
      </c>
      <c r="E15" s="44" t="s">
        <v>398</v>
      </c>
      <c r="F15" s="19"/>
      <c r="G15" s="19"/>
      <c r="H15" s="19"/>
    </row>
    <row r="16" spans="1:8" ht="16" customHeight="1" x14ac:dyDescent="0.35">
      <c r="A16" s="24"/>
      <c r="B16" s="24"/>
      <c r="C16" s="24"/>
      <c r="D16" s="9" t="s">
        <v>354</v>
      </c>
      <c r="E16" s="24"/>
      <c r="F16" s="6" t="s">
        <v>209</v>
      </c>
      <c r="G16" s="45">
        <v>3500000</v>
      </c>
      <c r="H16" s="24"/>
    </row>
    <row r="17" spans="1:8" ht="16" customHeight="1" x14ac:dyDescent="0.35">
      <c r="A17" s="24"/>
      <c r="B17" s="24"/>
      <c r="C17" s="24"/>
      <c r="D17" s="9" t="s">
        <v>399</v>
      </c>
      <c r="E17" s="24"/>
      <c r="F17" s="6" t="s">
        <v>215</v>
      </c>
      <c r="G17" s="45">
        <v>385000</v>
      </c>
      <c r="H17" s="24"/>
    </row>
    <row r="18" spans="1:8" ht="16" customHeight="1" x14ac:dyDescent="0.35">
      <c r="A18" s="24"/>
      <c r="B18" s="24"/>
      <c r="C18" s="24"/>
      <c r="D18" s="9" t="s">
        <v>349</v>
      </c>
      <c r="E18" s="24"/>
      <c r="F18" s="6" t="s">
        <v>193</v>
      </c>
      <c r="G18" s="24"/>
      <c r="H18" s="46">
        <v>3885000</v>
      </c>
    </row>
    <row r="19" spans="1:8" ht="22" customHeight="1" x14ac:dyDescent="0.35">
      <c r="A19" s="41">
        <v>5</v>
      </c>
      <c r="B19" s="41" t="s">
        <v>400</v>
      </c>
      <c r="C19" s="42" t="s">
        <v>401</v>
      </c>
      <c r="D19" s="43" t="s">
        <v>402</v>
      </c>
      <c r="E19" s="44" t="s">
        <v>403</v>
      </c>
      <c r="F19" s="19"/>
      <c r="G19" s="19"/>
      <c r="H19" s="19"/>
    </row>
    <row r="20" spans="1:8" ht="16" customHeight="1" x14ac:dyDescent="0.35">
      <c r="A20" s="24"/>
      <c r="B20" s="24"/>
      <c r="C20" s="24"/>
      <c r="D20" s="9" t="s">
        <v>352</v>
      </c>
      <c r="E20" s="24"/>
      <c r="F20" s="6" t="s">
        <v>202</v>
      </c>
      <c r="G20" s="45">
        <v>55500000</v>
      </c>
      <c r="H20" s="24"/>
    </row>
    <row r="21" spans="1:8" ht="16" customHeight="1" x14ac:dyDescent="0.35">
      <c r="A21" s="24"/>
      <c r="B21" s="24"/>
      <c r="C21" s="24"/>
      <c r="D21" s="9" t="s">
        <v>404</v>
      </c>
      <c r="E21" s="24"/>
      <c r="F21" s="6" t="s">
        <v>278</v>
      </c>
      <c r="G21" s="24"/>
      <c r="H21" s="46">
        <v>50000000</v>
      </c>
    </row>
    <row r="22" spans="1:8" ht="16" customHeight="1" x14ac:dyDescent="0.35">
      <c r="A22" s="24"/>
      <c r="B22" s="24"/>
      <c r="C22" s="24"/>
      <c r="D22" s="9" t="s">
        <v>387</v>
      </c>
      <c r="E22" s="24"/>
      <c r="F22" s="6" t="s">
        <v>256</v>
      </c>
      <c r="G22" s="24"/>
      <c r="H22" s="46">
        <v>5500000</v>
      </c>
    </row>
    <row r="23" spans="1:8" ht="22" customHeight="1" x14ac:dyDescent="0.35">
      <c r="A23" s="41">
        <v>6</v>
      </c>
      <c r="B23" s="41" t="s">
        <v>405</v>
      </c>
      <c r="C23" s="42" t="s">
        <v>406</v>
      </c>
      <c r="D23" s="43" t="s">
        <v>407</v>
      </c>
      <c r="E23" s="44" t="s">
        <v>408</v>
      </c>
      <c r="F23" s="19"/>
      <c r="G23" s="19"/>
      <c r="H23" s="19"/>
    </row>
    <row r="24" spans="1:8" ht="16" customHeight="1" x14ac:dyDescent="0.35">
      <c r="A24" s="24"/>
      <c r="B24" s="24"/>
      <c r="C24" s="24"/>
      <c r="D24" s="9" t="s">
        <v>350</v>
      </c>
      <c r="E24" s="24"/>
      <c r="F24" s="6" t="s">
        <v>198</v>
      </c>
      <c r="G24" s="45">
        <v>33300000</v>
      </c>
      <c r="H24" s="24"/>
    </row>
    <row r="25" spans="1:8" ht="16" customHeight="1" x14ac:dyDescent="0.35">
      <c r="A25" s="24"/>
      <c r="B25" s="24"/>
      <c r="C25" s="24"/>
      <c r="D25" s="9" t="s">
        <v>372</v>
      </c>
      <c r="E25" s="24"/>
      <c r="F25" s="6" t="s">
        <v>258</v>
      </c>
      <c r="G25" s="24"/>
      <c r="H25" s="46">
        <v>30000000</v>
      </c>
    </row>
    <row r="26" spans="1:8" ht="16" customHeight="1" x14ac:dyDescent="0.35">
      <c r="A26" s="24"/>
      <c r="B26" s="24"/>
      <c r="C26" s="24"/>
      <c r="D26" s="9" t="s">
        <v>387</v>
      </c>
      <c r="E26" s="24"/>
      <c r="F26" s="6" t="s">
        <v>256</v>
      </c>
      <c r="G26" s="24"/>
      <c r="H26" s="46">
        <v>3300000</v>
      </c>
    </row>
    <row r="27" spans="1:8" ht="22" customHeight="1" x14ac:dyDescent="0.35">
      <c r="A27" s="41">
        <v>7</v>
      </c>
      <c r="B27" s="41" t="s">
        <v>405</v>
      </c>
      <c r="C27" s="42" t="s">
        <v>409</v>
      </c>
      <c r="D27" s="43" t="s">
        <v>410</v>
      </c>
      <c r="E27" s="44" t="s">
        <v>411</v>
      </c>
      <c r="F27" s="19"/>
      <c r="G27" s="19"/>
      <c r="H27" s="19"/>
    </row>
    <row r="28" spans="1:8" ht="16" customHeight="1" x14ac:dyDescent="0.35">
      <c r="A28" s="24"/>
      <c r="B28" s="24"/>
      <c r="C28" s="24"/>
      <c r="D28" s="9" t="s">
        <v>412</v>
      </c>
      <c r="E28" s="24"/>
      <c r="F28" s="6" t="s">
        <v>310</v>
      </c>
      <c r="G28" s="45">
        <v>3500000</v>
      </c>
      <c r="H28" s="24"/>
    </row>
    <row r="29" spans="1:8" ht="16" customHeight="1" x14ac:dyDescent="0.35">
      <c r="A29" s="24"/>
      <c r="B29" s="24"/>
      <c r="C29" s="24"/>
      <c r="D29" s="9" t="s">
        <v>350</v>
      </c>
      <c r="E29" s="24"/>
      <c r="F29" s="6" t="s">
        <v>198</v>
      </c>
      <c r="G29" s="24"/>
      <c r="H29" s="46">
        <v>3500000</v>
      </c>
    </row>
    <row r="30" spans="1:8" ht="22" customHeight="1" x14ac:dyDescent="0.35">
      <c r="A30" s="41">
        <v>8</v>
      </c>
      <c r="B30" s="41" t="s">
        <v>413</v>
      </c>
      <c r="C30" s="42" t="s">
        <v>414</v>
      </c>
      <c r="D30" s="43" t="s">
        <v>415</v>
      </c>
      <c r="E30" s="44" t="s">
        <v>416</v>
      </c>
      <c r="F30" s="19"/>
      <c r="G30" s="19"/>
      <c r="H30" s="19"/>
    </row>
    <row r="31" spans="1:8" ht="16" customHeight="1" x14ac:dyDescent="0.35">
      <c r="A31" s="24"/>
      <c r="B31" s="24"/>
      <c r="C31" s="24"/>
      <c r="D31" s="9" t="s">
        <v>372</v>
      </c>
      <c r="E31" s="24"/>
      <c r="F31" s="6" t="s">
        <v>258</v>
      </c>
      <c r="G31" s="45">
        <v>40000000</v>
      </c>
      <c r="H31" s="24"/>
    </row>
    <row r="32" spans="1:8" ht="16" customHeight="1" x14ac:dyDescent="0.35">
      <c r="A32" s="24"/>
      <c r="B32" s="24"/>
      <c r="C32" s="24"/>
      <c r="D32" s="9" t="s">
        <v>417</v>
      </c>
      <c r="E32" s="24"/>
      <c r="F32" s="6" t="s">
        <v>282</v>
      </c>
      <c r="G32" s="24"/>
      <c r="H32" s="46">
        <v>40000000</v>
      </c>
    </row>
    <row r="33" spans="1:8" ht="22" customHeight="1" x14ac:dyDescent="0.35">
      <c r="A33" s="41">
        <v>9</v>
      </c>
      <c r="B33" s="41" t="s">
        <v>418</v>
      </c>
      <c r="C33" s="42" t="s">
        <v>419</v>
      </c>
      <c r="D33" s="43" t="s">
        <v>420</v>
      </c>
      <c r="E33" s="44" t="s">
        <v>421</v>
      </c>
      <c r="F33" s="19"/>
      <c r="G33" s="19"/>
      <c r="H33" s="19"/>
    </row>
    <row r="34" spans="1:8" ht="16" customHeight="1" x14ac:dyDescent="0.35">
      <c r="A34" s="24"/>
      <c r="B34" s="24"/>
      <c r="C34" s="24"/>
      <c r="D34" s="9" t="s">
        <v>422</v>
      </c>
      <c r="E34" s="24"/>
      <c r="F34" s="6" t="s">
        <v>301</v>
      </c>
      <c r="G34" s="45">
        <v>12000000</v>
      </c>
      <c r="H34" s="24"/>
    </row>
    <row r="35" spans="1:8" ht="16" customHeight="1" x14ac:dyDescent="0.35">
      <c r="A35" s="24"/>
      <c r="B35" s="24"/>
      <c r="C35" s="24"/>
      <c r="D35" s="9" t="s">
        <v>399</v>
      </c>
      <c r="E35" s="24"/>
      <c r="F35" s="6" t="s">
        <v>215</v>
      </c>
      <c r="G35" s="45">
        <v>1320000</v>
      </c>
      <c r="H35" s="24"/>
    </row>
    <row r="36" spans="1:8" ht="16" customHeight="1" x14ac:dyDescent="0.35">
      <c r="A36" s="24"/>
      <c r="B36" s="24"/>
      <c r="C36" s="24"/>
      <c r="D36" s="9" t="s">
        <v>369</v>
      </c>
      <c r="E36" s="24"/>
      <c r="F36" s="6" t="s">
        <v>247</v>
      </c>
      <c r="G36" s="24"/>
      <c r="H36" s="46">
        <v>13320000</v>
      </c>
    </row>
    <row r="37" spans="1:8" ht="22" customHeight="1" x14ac:dyDescent="0.35">
      <c r="A37" s="41">
        <v>10</v>
      </c>
      <c r="B37" s="41" t="s">
        <v>418</v>
      </c>
      <c r="C37" s="42" t="s">
        <v>423</v>
      </c>
      <c r="D37" s="43" t="s">
        <v>424</v>
      </c>
      <c r="E37" s="44" t="s">
        <v>425</v>
      </c>
      <c r="F37" s="19"/>
      <c r="G37" s="19"/>
      <c r="H37" s="19"/>
    </row>
    <row r="38" spans="1:8" ht="16" customHeight="1" x14ac:dyDescent="0.35">
      <c r="A38" s="24"/>
      <c r="B38" s="24"/>
      <c r="C38" s="24"/>
      <c r="D38" s="9" t="s">
        <v>350</v>
      </c>
      <c r="E38" s="24"/>
      <c r="F38" s="6" t="s">
        <v>198</v>
      </c>
      <c r="G38" s="45">
        <v>55500000</v>
      </c>
      <c r="H38" s="24"/>
    </row>
    <row r="39" spans="1:8" ht="16" customHeight="1" x14ac:dyDescent="0.35">
      <c r="A39" s="24"/>
      <c r="B39" s="24"/>
      <c r="C39" s="24"/>
      <c r="D39" s="9" t="s">
        <v>352</v>
      </c>
      <c r="E39" s="24"/>
      <c r="F39" s="6" t="s">
        <v>202</v>
      </c>
      <c r="G39" s="24"/>
      <c r="H39" s="46">
        <v>55500000</v>
      </c>
    </row>
    <row r="40" spans="1:8" ht="22" customHeight="1" x14ac:dyDescent="0.35">
      <c r="A40" s="41">
        <v>11</v>
      </c>
      <c r="B40" s="41" t="s">
        <v>426</v>
      </c>
      <c r="C40" s="42" t="s">
        <v>427</v>
      </c>
      <c r="D40" s="43" t="s">
        <v>428</v>
      </c>
      <c r="E40" s="44" t="s">
        <v>429</v>
      </c>
      <c r="F40" s="19"/>
      <c r="G40" s="19"/>
      <c r="H40" s="19"/>
    </row>
    <row r="41" spans="1:8" ht="16" customHeight="1" x14ac:dyDescent="0.35">
      <c r="A41" s="24"/>
      <c r="B41" s="24"/>
      <c r="C41" s="24"/>
      <c r="D41" s="9" t="s">
        <v>352</v>
      </c>
      <c r="E41" s="24"/>
      <c r="F41" s="6" t="s">
        <v>202</v>
      </c>
      <c r="G41" s="45">
        <v>83250000</v>
      </c>
      <c r="H41" s="24"/>
    </row>
    <row r="42" spans="1:8" ht="16" customHeight="1" x14ac:dyDescent="0.35">
      <c r="A42" s="24"/>
      <c r="B42" s="24"/>
      <c r="C42" s="24"/>
      <c r="D42" s="9" t="s">
        <v>430</v>
      </c>
      <c r="E42" s="24"/>
      <c r="F42" s="6" t="s">
        <v>284</v>
      </c>
      <c r="G42" s="24"/>
      <c r="H42" s="46">
        <v>75000000</v>
      </c>
    </row>
    <row r="43" spans="1:8" ht="16" customHeight="1" x14ac:dyDescent="0.35">
      <c r="A43" s="24"/>
      <c r="B43" s="24"/>
      <c r="C43" s="24"/>
      <c r="D43" s="9" t="s">
        <v>387</v>
      </c>
      <c r="E43" s="24"/>
      <c r="F43" s="6" t="s">
        <v>256</v>
      </c>
      <c r="G43" s="24"/>
      <c r="H43" s="46">
        <v>8250000</v>
      </c>
    </row>
    <row r="44" spans="1:8" ht="22" customHeight="1" x14ac:dyDescent="0.35">
      <c r="A44" s="41">
        <v>12</v>
      </c>
      <c r="B44" s="41" t="s">
        <v>431</v>
      </c>
      <c r="C44" s="42" t="s">
        <v>432</v>
      </c>
      <c r="D44" s="43" t="s">
        <v>433</v>
      </c>
      <c r="E44" s="44" t="s">
        <v>434</v>
      </c>
      <c r="F44" s="19"/>
      <c r="G44" s="19"/>
      <c r="H44" s="19"/>
    </row>
    <row r="45" spans="1:8" ht="16" customHeight="1" x14ac:dyDescent="0.35">
      <c r="A45" s="24"/>
      <c r="B45" s="24"/>
      <c r="C45" s="24"/>
      <c r="D45" s="9" t="s">
        <v>435</v>
      </c>
      <c r="E45" s="24"/>
      <c r="F45" s="6" t="s">
        <v>303</v>
      </c>
      <c r="G45" s="45">
        <v>4500000</v>
      </c>
      <c r="H45" s="24"/>
    </row>
    <row r="46" spans="1:8" ht="16" customHeight="1" x14ac:dyDescent="0.35">
      <c r="A46" s="24"/>
      <c r="B46" s="24"/>
      <c r="C46" s="24"/>
      <c r="D46" s="9" t="s">
        <v>349</v>
      </c>
      <c r="E46" s="24"/>
      <c r="F46" s="6" t="s">
        <v>193</v>
      </c>
      <c r="G46" s="24"/>
      <c r="H46" s="46">
        <v>4500000</v>
      </c>
    </row>
    <row r="47" spans="1:8" ht="22" customHeight="1" x14ac:dyDescent="0.35">
      <c r="A47" s="41">
        <v>13</v>
      </c>
      <c r="B47" s="41" t="s">
        <v>436</v>
      </c>
      <c r="C47" s="42" t="s">
        <v>437</v>
      </c>
      <c r="D47" s="43" t="s">
        <v>438</v>
      </c>
      <c r="E47" s="44" t="s">
        <v>439</v>
      </c>
      <c r="F47" s="19"/>
      <c r="G47" s="19"/>
      <c r="H47" s="19"/>
    </row>
    <row r="48" spans="1:8" ht="16" customHeight="1" x14ac:dyDescent="0.35">
      <c r="A48" s="24"/>
      <c r="B48" s="24"/>
      <c r="C48" s="24"/>
      <c r="D48" s="9" t="s">
        <v>350</v>
      </c>
      <c r="E48" s="24"/>
      <c r="F48" s="6" t="s">
        <v>198</v>
      </c>
      <c r="G48" s="45">
        <v>66600000</v>
      </c>
      <c r="H48" s="24"/>
    </row>
    <row r="49" spans="1:8" ht="16" customHeight="1" x14ac:dyDescent="0.35">
      <c r="A49" s="24"/>
      <c r="B49" s="24"/>
      <c r="C49" s="24"/>
      <c r="D49" s="9" t="s">
        <v>372</v>
      </c>
      <c r="E49" s="24"/>
      <c r="F49" s="6" t="s">
        <v>258</v>
      </c>
      <c r="G49" s="24"/>
      <c r="H49" s="46">
        <v>60000000</v>
      </c>
    </row>
    <row r="50" spans="1:8" ht="16" customHeight="1" x14ac:dyDescent="0.35">
      <c r="A50" s="24"/>
      <c r="B50" s="24"/>
      <c r="C50" s="24"/>
      <c r="D50" s="9" t="s">
        <v>387</v>
      </c>
      <c r="E50" s="24"/>
      <c r="F50" s="6" t="s">
        <v>256</v>
      </c>
      <c r="G50" s="24"/>
      <c r="H50" s="46">
        <v>6600000</v>
      </c>
    </row>
    <row r="51" spans="1:8" ht="22" customHeight="1" x14ac:dyDescent="0.35">
      <c r="A51" s="41">
        <v>14</v>
      </c>
      <c r="B51" s="41" t="s">
        <v>440</v>
      </c>
      <c r="C51" s="42" t="s">
        <v>441</v>
      </c>
      <c r="D51" s="43" t="s">
        <v>442</v>
      </c>
      <c r="E51" s="44" t="s">
        <v>443</v>
      </c>
      <c r="F51" s="19"/>
      <c r="G51" s="19"/>
      <c r="H51" s="19"/>
    </row>
    <row r="52" spans="1:8" ht="16" customHeight="1" x14ac:dyDescent="0.35">
      <c r="A52" s="24"/>
      <c r="B52" s="24"/>
      <c r="C52" s="24"/>
      <c r="D52" s="9" t="s">
        <v>371</v>
      </c>
      <c r="E52" s="24"/>
      <c r="F52" s="6" t="s">
        <v>252</v>
      </c>
      <c r="G52" s="45">
        <v>3750000</v>
      </c>
      <c r="H52" s="24"/>
    </row>
    <row r="53" spans="1:8" ht="16" customHeight="1" x14ac:dyDescent="0.35">
      <c r="A53" s="24"/>
      <c r="B53" s="24"/>
      <c r="C53" s="24"/>
      <c r="D53" s="9" t="s">
        <v>350</v>
      </c>
      <c r="E53" s="24"/>
      <c r="F53" s="6" t="s">
        <v>198</v>
      </c>
      <c r="G53" s="24"/>
      <c r="H53" s="46">
        <v>3750000</v>
      </c>
    </row>
    <row r="54" spans="1:8" ht="22" customHeight="1" x14ac:dyDescent="0.35">
      <c r="A54" s="41">
        <v>15</v>
      </c>
      <c r="B54" s="41" t="s">
        <v>440</v>
      </c>
      <c r="C54" s="42" t="s">
        <v>444</v>
      </c>
      <c r="D54" s="43" t="s">
        <v>445</v>
      </c>
      <c r="E54" s="44" t="s">
        <v>446</v>
      </c>
      <c r="F54" s="19"/>
      <c r="G54" s="19"/>
      <c r="H54" s="19"/>
    </row>
    <row r="55" spans="1:8" ht="16" customHeight="1" x14ac:dyDescent="0.35">
      <c r="A55" s="24"/>
      <c r="B55" s="24"/>
      <c r="C55" s="24"/>
      <c r="D55" s="9" t="s">
        <v>412</v>
      </c>
      <c r="E55" s="24"/>
      <c r="F55" s="6" t="s">
        <v>310</v>
      </c>
      <c r="G55" s="45">
        <v>2200000</v>
      </c>
      <c r="H55" s="24"/>
    </row>
    <row r="56" spans="1:8" ht="16" customHeight="1" x14ac:dyDescent="0.35">
      <c r="A56" s="24"/>
      <c r="B56" s="24"/>
      <c r="C56" s="24"/>
      <c r="D56" s="9" t="s">
        <v>350</v>
      </c>
      <c r="E56" s="24"/>
      <c r="F56" s="6" t="s">
        <v>198</v>
      </c>
      <c r="G56" s="24"/>
      <c r="H56" s="46">
        <v>2200000</v>
      </c>
    </row>
    <row r="57" spans="1:8" ht="22" customHeight="1" x14ac:dyDescent="0.35">
      <c r="A57" s="41">
        <v>16</v>
      </c>
      <c r="B57" s="41" t="s">
        <v>440</v>
      </c>
      <c r="C57" s="42" t="s">
        <v>447</v>
      </c>
      <c r="D57" s="43" t="s">
        <v>448</v>
      </c>
      <c r="E57" s="44" t="s">
        <v>449</v>
      </c>
      <c r="F57" s="19"/>
      <c r="G57" s="19"/>
      <c r="H57" s="19"/>
    </row>
    <row r="58" spans="1:8" ht="16" customHeight="1" x14ac:dyDescent="0.35">
      <c r="A58" s="24"/>
      <c r="B58" s="24"/>
      <c r="C58" s="24"/>
      <c r="D58" s="9" t="s">
        <v>373</v>
      </c>
      <c r="E58" s="24"/>
      <c r="F58" s="6" t="s">
        <v>265</v>
      </c>
      <c r="G58" s="45">
        <v>5000000</v>
      </c>
      <c r="H58" s="24"/>
    </row>
    <row r="59" spans="1:8" ht="16" customHeight="1" x14ac:dyDescent="0.35">
      <c r="A59" s="24"/>
      <c r="B59" s="24"/>
      <c r="C59" s="24"/>
      <c r="D59" s="9" t="s">
        <v>450</v>
      </c>
      <c r="E59" s="24"/>
      <c r="F59" s="6" t="s">
        <v>342</v>
      </c>
      <c r="G59" s="45">
        <v>1500000</v>
      </c>
      <c r="H59" s="24"/>
    </row>
    <row r="60" spans="1:8" ht="16" customHeight="1" x14ac:dyDescent="0.35">
      <c r="A60" s="24"/>
      <c r="B60" s="24"/>
      <c r="C60" s="24"/>
      <c r="D60" s="9" t="s">
        <v>350</v>
      </c>
      <c r="E60" s="24"/>
      <c r="F60" s="6" t="s">
        <v>198</v>
      </c>
      <c r="G60" s="24"/>
      <c r="H60" s="46">
        <v>6500000</v>
      </c>
    </row>
    <row r="61" spans="1:8" ht="22" customHeight="1" x14ac:dyDescent="0.35">
      <c r="A61" s="41">
        <v>17</v>
      </c>
      <c r="B61" s="41" t="s">
        <v>451</v>
      </c>
      <c r="C61" s="42" t="s">
        <v>452</v>
      </c>
      <c r="D61" s="43" t="s">
        <v>453</v>
      </c>
      <c r="E61" s="44" t="s">
        <v>454</v>
      </c>
      <c r="F61" s="19"/>
      <c r="G61" s="19"/>
      <c r="H61" s="19"/>
    </row>
    <row r="62" spans="1:8" ht="16" customHeight="1" x14ac:dyDescent="0.35">
      <c r="A62" s="24"/>
      <c r="B62" s="24"/>
      <c r="C62" s="24"/>
      <c r="D62" s="9" t="s">
        <v>349</v>
      </c>
      <c r="E62" s="24"/>
      <c r="F62" s="6" t="s">
        <v>193</v>
      </c>
      <c r="G62" s="45">
        <v>16650000</v>
      </c>
      <c r="H62" s="24"/>
    </row>
    <row r="63" spans="1:8" ht="16" customHeight="1" x14ac:dyDescent="0.35">
      <c r="A63" s="24"/>
      <c r="B63" s="24"/>
      <c r="C63" s="24"/>
      <c r="D63" s="9" t="s">
        <v>455</v>
      </c>
      <c r="E63" s="24"/>
      <c r="F63" s="6" t="s">
        <v>286</v>
      </c>
      <c r="G63" s="24"/>
      <c r="H63" s="46">
        <v>15000000</v>
      </c>
    </row>
    <row r="64" spans="1:8" ht="16" customHeight="1" x14ac:dyDescent="0.35">
      <c r="A64" s="24"/>
      <c r="B64" s="24"/>
      <c r="C64" s="24"/>
      <c r="D64" s="9" t="s">
        <v>387</v>
      </c>
      <c r="E64" s="24"/>
      <c r="F64" s="6" t="s">
        <v>256</v>
      </c>
      <c r="G64" s="24"/>
      <c r="H64" s="46">
        <v>1650000</v>
      </c>
    </row>
    <row r="65" spans="1:8" ht="22" customHeight="1" x14ac:dyDescent="0.35">
      <c r="A65" s="41">
        <v>18</v>
      </c>
      <c r="B65" s="41" t="s">
        <v>456</v>
      </c>
      <c r="C65" s="42" t="s">
        <v>457</v>
      </c>
      <c r="D65" s="43" t="s">
        <v>458</v>
      </c>
      <c r="E65" s="44" t="s">
        <v>459</v>
      </c>
      <c r="F65" s="19"/>
      <c r="G65" s="19"/>
      <c r="H65" s="19"/>
    </row>
    <row r="66" spans="1:8" ht="16" customHeight="1" x14ac:dyDescent="0.35">
      <c r="A66" s="24"/>
      <c r="B66" s="24"/>
      <c r="C66" s="24"/>
      <c r="D66" s="9" t="s">
        <v>356</v>
      </c>
      <c r="E66" s="24"/>
      <c r="F66" s="6" t="s">
        <v>213</v>
      </c>
      <c r="G66" s="45">
        <v>6000000</v>
      </c>
      <c r="H66" s="24"/>
    </row>
    <row r="67" spans="1:8" ht="16" customHeight="1" x14ac:dyDescent="0.35">
      <c r="A67" s="24"/>
      <c r="B67" s="24"/>
      <c r="C67" s="24"/>
      <c r="D67" s="9" t="s">
        <v>350</v>
      </c>
      <c r="E67" s="24"/>
      <c r="F67" s="6" t="s">
        <v>198</v>
      </c>
      <c r="G67" s="24"/>
      <c r="H67" s="46">
        <v>6000000</v>
      </c>
    </row>
    <row r="68" spans="1:8" ht="22" customHeight="1" x14ac:dyDescent="0.35">
      <c r="A68" s="41">
        <v>19</v>
      </c>
      <c r="B68" s="41" t="s">
        <v>456</v>
      </c>
      <c r="C68" s="42" t="s">
        <v>460</v>
      </c>
      <c r="D68" s="43" t="s">
        <v>461</v>
      </c>
      <c r="E68" s="44" t="s">
        <v>462</v>
      </c>
      <c r="F68" s="19"/>
      <c r="G68" s="19"/>
      <c r="H68" s="19"/>
    </row>
    <row r="69" spans="1:8" ht="16" customHeight="1" x14ac:dyDescent="0.35">
      <c r="A69" s="24"/>
      <c r="B69" s="24"/>
      <c r="C69" s="24"/>
      <c r="D69" s="9" t="s">
        <v>351</v>
      </c>
      <c r="E69" s="24"/>
      <c r="F69" s="6" t="s">
        <v>200</v>
      </c>
      <c r="G69" s="45">
        <v>39500000</v>
      </c>
      <c r="H69" s="24"/>
    </row>
    <row r="70" spans="1:8" ht="16" customHeight="1" x14ac:dyDescent="0.35">
      <c r="A70" s="24"/>
      <c r="B70" s="24"/>
      <c r="C70" s="24"/>
      <c r="D70" s="9" t="s">
        <v>352</v>
      </c>
      <c r="E70" s="24"/>
      <c r="F70" s="6" t="s">
        <v>202</v>
      </c>
      <c r="G70" s="24"/>
      <c r="H70" s="46">
        <v>39500000</v>
      </c>
    </row>
    <row r="71" spans="1:8" ht="22" customHeight="1" x14ac:dyDescent="0.35">
      <c r="A71" s="41">
        <v>20</v>
      </c>
      <c r="B71" s="41" t="s">
        <v>463</v>
      </c>
      <c r="C71" s="42" t="s">
        <v>464</v>
      </c>
      <c r="D71" s="43" t="s">
        <v>465</v>
      </c>
      <c r="E71" s="44" t="s">
        <v>466</v>
      </c>
      <c r="F71" s="19"/>
      <c r="G71" s="19"/>
      <c r="H71" s="19"/>
    </row>
    <row r="72" spans="1:8" ht="16" customHeight="1" x14ac:dyDescent="0.35">
      <c r="A72" s="24"/>
      <c r="B72" s="24"/>
      <c r="C72" s="24"/>
      <c r="D72" s="9" t="s">
        <v>352</v>
      </c>
      <c r="E72" s="24"/>
      <c r="F72" s="6" t="s">
        <v>202</v>
      </c>
      <c r="G72" s="45">
        <v>44400000</v>
      </c>
      <c r="H72" s="24"/>
    </row>
    <row r="73" spans="1:8" ht="16" customHeight="1" x14ac:dyDescent="0.35">
      <c r="A73" s="24"/>
      <c r="B73" s="24"/>
      <c r="C73" s="24"/>
      <c r="D73" s="9" t="s">
        <v>404</v>
      </c>
      <c r="E73" s="24"/>
      <c r="F73" s="6" t="s">
        <v>278</v>
      </c>
      <c r="G73" s="24"/>
      <c r="H73" s="46">
        <v>40000000</v>
      </c>
    </row>
    <row r="74" spans="1:8" ht="16" customHeight="1" x14ac:dyDescent="0.35">
      <c r="A74" s="24"/>
      <c r="B74" s="24"/>
      <c r="C74" s="24"/>
      <c r="D74" s="9" t="s">
        <v>387</v>
      </c>
      <c r="E74" s="24"/>
      <c r="F74" s="6" t="s">
        <v>256</v>
      </c>
      <c r="G74" s="24"/>
      <c r="H74" s="46">
        <v>4400000</v>
      </c>
    </row>
    <row r="75" spans="1:8" ht="22" customHeight="1" x14ac:dyDescent="0.35">
      <c r="A75" s="41">
        <v>21</v>
      </c>
      <c r="B75" s="41" t="s">
        <v>467</v>
      </c>
      <c r="C75" s="42" t="s">
        <v>468</v>
      </c>
      <c r="D75" s="43" t="s">
        <v>469</v>
      </c>
      <c r="E75" s="44" t="s">
        <v>470</v>
      </c>
      <c r="F75" s="19"/>
      <c r="G75" s="19"/>
      <c r="H75" s="19"/>
    </row>
    <row r="76" spans="1:8" ht="16" customHeight="1" x14ac:dyDescent="0.35">
      <c r="A76" s="24"/>
      <c r="B76" s="24"/>
      <c r="C76" s="24"/>
      <c r="D76" s="9" t="s">
        <v>354</v>
      </c>
      <c r="E76" s="24"/>
      <c r="F76" s="6" t="s">
        <v>209</v>
      </c>
      <c r="G76" s="45">
        <v>2200000</v>
      </c>
      <c r="H76" s="24"/>
    </row>
    <row r="77" spans="1:8" ht="16" customHeight="1" x14ac:dyDescent="0.35">
      <c r="A77" s="24"/>
      <c r="B77" s="24"/>
      <c r="C77" s="24"/>
      <c r="D77" s="9" t="s">
        <v>399</v>
      </c>
      <c r="E77" s="24"/>
      <c r="F77" s="6" t="s">
        <v>215</v>
      </c>
      <c r="G77" s="45">
        <v>242000</v>
      </c>
      <c r="H77" s="24"/>
    </row>
    <row r="78" spans="1:8" ht="16" customHeight="1" x14ac:dyDescent="0.35">
      <c r="A78" s="24"/>
      <c r="B78" s="24"/>
      <c r="C78" s="24"/>
      <c r="D78" s="9" t="s">
        <v>349</v>
      </c>
      <c r="E78" s="24"/>
      <c r="F78" s="6" t="s">
        <v>193</v>
      </c>
      <c r="G78" s="24"/>
      <c r="H78" s="46">
        <v>2442000</v>
      </c>
    </row>
    <row r="79" spans="1:8" ht="22" customHeight="1" x14ac:dyDescent="0.35">
      <c r="A79" s="41">
        <v>22</v>
      </c>
      <c r="B79" s="41" t="s">
        <v>471</v>
      </c>
      <c r="C79" s="42" t="s">
        <v>472</v>
      </c>
      <c r="D79" s="43" t="s">
        <v>473</v>
      </c>
      <c r="E79" s="44" t="s">
        <v>474</v>
      </c>
      <c r="F79" s="19"/>
      <c r="G79" s="19"/>
      <c r="H79" s="19"/>
    </row>
    <row r="80" spans="1:8" ht="16" customHeight="1" x14ac:dyDescent="0.35">
      <c r="A80" s="24"/>
      <c r="B80" s="24"/>
      <c r="C80" s="24"/>
      <c r="D80" s="9" t="s">
        <v>352</v>
      </c>
      <c r="E80" s="24"/>
      <c r="F80" s="6" t="s">
        <v>202</v>
      </c>
      <c r="G80" s="45">
        <v>22200000</v>
      </c>
      <c r="H80" s="24"/>
    </row>
    <row r="81" spans="1:8" ht="16" customHeight="1" x14ac:dyDescent="0.35">
      <c r="A81" s="24"/>
      <c r="B81" s="24"/>
      <c r="C81" s="24"/>
      <c r="D81" s="9" t="s">
        <v>475</v>
      </c>
      <c r="E81" s="24"/>
      <c r="F81" s="6" t="s">
        <v>288</v>
      </c>
      <c r="G81" s="24"/>
      <c r="H81" s="46">
        <v>20000000</v>
      </c>
    </row>
    <row r="82" spans="1:8" ht="16" customHeight="1" x14ac:dyDescent="0.35">
      <c r="A82" s="24"/>
      <c r="B82" s="24"/>
      <c r="C82" s="24"/>
      <c r="D82" s="9" t="s">
        <v>387</v>
      </c>
      <c r="E82" s="24"/>
      <c r="F82" s="6" t="s">
        <v>256</v>
      </c>
      <c r="G82" s="24"/>
      <c r="H82" s="46">
        <v>2200000</v>
      </c>
    </row>
    <row r="83" spans="1:8" ht="22" customHeight="1" x14ac:dyDescent="0.35">
      <c r="A83" s="41">
        <v>23</v>
      </c>
      <c r="B83" s="41" t="s">
        <v>471</v>
      </c>
      <c r="C83" s="42" t="s">
        <v>476</v>
      </c>
      <c r="D83" s="43" t="s">
        <v>477</v>
      </c>
      <c r="E83" s="44" t="s">
        <v>478</v>
      </c>
      <c r="F83" s="19"/>
      <c r="G83" s="19"/>
      <c r="H83" s="19"/>
    </row>
    <row r="84" spans="1:8" ht="16" customHeight="1" x14ac:dyDescent="0.35">
      <c r="A84" s="24"/>
      <c r="B84" s="24"/>
      <c r="C84" s="24"/>
      <c r="D84" s="9" t="s">
        <v>479</v>
      </c>
      <c r="E84" s="24"/>
      <c r="F84" s="6" t="s">
        <v>312</v>
      </c>
      <c r="G84" s="45">
        <v>1200000</v>
      </c>
      <c r="H84" s="24"/>
    </row>
    <row r="85" spans="1:8" ht="16" customHeight="1" x14ac:dyDescent="0.35">
      <c r="A85" s="24"/>
      <c r="B85" s="24"/>
      <c r="C85" s="24"/>
      <c r="D85" s="9" t="s">
        <v>349</v>
      </c>
      <c r="E85" s="24"/>
      <c r="F85" s="6" t="s">
        <v>193</v>
      </c>
      <c r="G85" s="24"/>
      <c r="H85" s="46">
        <v>1200000</v>
      </c>
    </row>
    <row r="86" spans="1:8" ht="22" customHeight="1" x14ac:dyDescent="0.35">
      <c r="A86" s="41">
        <v>24</v>
      </c>
      <c r="B86" s="41" t="s">
        <v>480</v>
      </c>
      <c r="C86" s="42" t="s">
        <v>481</v>
      </c>
      <c r="D86" s="43" t="s">
        <v>482</v>
      </c>
      <c r="E86" s="44" t="s">
        <v>483</v>
      </c>
      <c r="F86" s="19"/>
      <c r="G86" s="19"/>
      <c r="H86" s="19"/>
    </row>
    <row r="87" spans="1:8" ht="16" customHeight="1" x14ac:dyDescent="0.35">
      <c r="A87" s="24"/>
      <c r="B87" s="24"/>
      <c r="C87" s="24"/>
      <c r="D87" s="9" t="s">
        <v>372</v>
      </c>
      <c r="E87" s="24"/>
      <c r="F87" s="6" t="s">
        <v>258</v>
      </c>
      <c r="G87" s="45">
        <v>5000000</v>
      </c>
      <c r="H87" s="24"/>
    </row>
    <row r="88" spans="1:8" ht="16" customHeight="1" x14ac:dyDescent="0.35">
      <c r="A88" s="24"/>
      <c r="B88" s="24"/>
      <c r="C88" s="24"/>
      <c r="D88" s="9" t="s">
        <v>484</v>
      </c>
      <c r="E88" s="24"/>
      <c r="F88" s="6" t="s">
        <v>290</v>
      </c>
      <c r="G88" s="24"/>
      <c r="H88" s="46">
        <v>5000000</v>
      </c>
    </row>
    <row r="89" spans="1:8" ht="22" customHeight="1" x14ac:dyDescent="0.35">
      <c r="A89" s="41">
        <v>25</v>
      </c>
      <c r="B89" s="41" t="s">
        <v>485</v>
      </c>
      <c r="C89" s="42" t="s">
        <v>486</v>
      </c>
      <c r="D89" s="43" t="s">
        <v>487</v>
      </c>
      <c r="E89" s="44" t="s">
        <v>488</v>
      </c>
      <c r="F89" s="19"/>
      <c r="G89" s="19"/>
      <c r="H89" s="19"/>
    </row>
    <row r="90" spans="1:8" ht="16" customHeight="1" x14ac:dyDescent="0.35">
      <c r="A90" s="24"/>
      <c r="B90" s="24"/>
      <c r="C90" s="24"/>
      <c r="D90" s="9" t="s">
        <v>489</v>
      </c>
      <c r="E90" s="24"/>
      <c r="F90" s="6" t="s">
        <v>316</v>
      </c>
      <c r="G90" s="45">
        <v>4500000</v>
      </c>
      <c r="H90" s="24"/>
    </row>
    <row r="91" spans="1:8" ht="16" customHeight="1" x14ac:dyDescent="0.35">
      <c r="A91" s="24"/>
      <c r="B91" s="24"/>
      <c r="C91" s="24"/>
      <c r="D91" s="9" t="s">
        <v>350</v>
      </c>
      <c r="E91" s="24"/>
      <c r="F91" s="6" t="s">
        <v>198</v>
      </c>
      <c r="G91" s="24"/>
      <c r="H91" s="46">
        <v>4500000</v>
      </c>
    </row>
    <row r="92" spans="1:8" ht="22" customHeight="1" x14ac:dyDescent="0.35">
      <c r="A92" s="41">
        <v>26</v>
      </c>
      <c r="B92" s="41" t="s">
        <v>485</v>
      </c>
      <c r="C92" s="42" t="s">
        <v>490</v>
      </c>
      <c r="D92" s="43" t="s">
        <v>491</v>
      </c>
      <c r="E92" s="44" t="s">
        <v>492</v>
      </c>
      <c r="F92" s="19"/>
      <c r="G92" s="19"/>
      <c r="H92" s="19"/>
    </row>
    <row r="93" spans="1:8" ht="16" customHeight="1" x14ac:dyDescent="0.35">
      <c r="A93" s="24"/>
      <c r="B93" s="24"/>
      <c r="C93" s="24"/>
      <c r="D93" s="9" t="s">
        <v>369</v>
      </c>
      <c r="E93" s="24"/>
      <c r="F93" s="6" t="s">
        <v>247</v>
      </c>
      <c r="G93" s="45">
        <v>13320000</v>
      </c>
      <c r="H93" s="24"/>
    </row>
    <row r="94" spans="1:8" ht="16" customHeight="1" x14ac:dyDescent="0.35">
      <c r="A94" s="24"/>
      <c r="B94" s="24"/>
      <c r="C94" s="24"/>
      <c r="D94" s="9" t="s">
        <v>350</v>
      </c>
      <c r="E94" s="24"/>
      <c r="F94" s="6" t="s">
        <v>198</v>
      </c>
      <c r="G94" s="24"/>
      <c r="H94" s="46">
        <v>13320000</v>
      </c>
    </row>
    <row r="95" spans="1:8" ht="22" customHeight="1" x14ac:dyDescent="0.35">
      <c r="A95" s="41">
        <v>27</v>
      </c>
      <c r="B95" s="41" t="s">
        <v>493</v>
      </c>
      <c r="C95" s="42" t="s">
        <v>494</v>
      </c>
      <c r="D95" s="43" t="s">
        <v>495</v>
      </c>
      <c r="E95" s="44" t="s">
        <v>496</v>
      </c>
      <c r="F95" s="19"/>
      <c r="G95" s="19"/>
      <c r="H95" s="19"/>
    </row>
    <row r="96" spans="1:8" ht="16" customHeight="1" x14ac:dyDescent="0.35">
      <c r="A96" s="24"/>
      <c r="B96" s="24"/>
      <c r="C96" s="24"/>
      <c r="D96" s="9" t="s">
        <v>352</v>
      </c>
      <c r="E96" s="24"/>
      <c r="F96" s="6" t="s">
        <v>202</v>
      </c>
      <c r="G96" s="45">
        <v>26600000</v>
      </c>
      <c r="H96" s="24"/>
    </row>
    <row r="97" spans="1:8" ht="16" customHeight="1" x14ac:dyDescent="0.35">
      <c r="A97" s="24"/>
      <c r="B97" s="24"/>
      <c r="C97" s="24"/>
      <c r="D97" s="9" t="s">
        <v>372</v>
      </c>
      <c r="E97" s="24"/>
      <c r="F97" s="6" t="s">
        <v>258</v>
      </c>
      <c r="G97" s="24"/>
      <c r="H97" s="46">
        <v>24000000</v>
      </c>
    </row>
    <row r="98" spans="1:8" ht="16" customHeight="1" x14ac:dyDescent="0.35">
      <c r="A98" s="24"/>
      <c r="B98" s="24"/>
      <c r="C98" s="24"/>
      <c r="D98" s="9" t="s">
        <v>387</v>
      </c>
      <c r="E98" s="24"/>
      <c r="F98" s="6" t="s">
        <v>256</v>
      </c>
      <c r="G98" s="24"/>
      <c r="H98" s="46">
        <v>2600000</v>
      </c>
    </row>
    <row r="99" spans="1:8" ht="22" customHeight="1" x14ac:dyDescent="0.35">
      <c r="A99" s="41">
        <v>28</v>
      </c>
      <c r="B99" s="41" t="s">
        <v>497</v>
      </c>
      <c r="C99" s="42" t="s">
        <v>498</v>
      </c>
      <c r="D99" s="43" t="s">
        <v>499</v>
      </c>
      <c r="E99" s="44" t="s">
        <v>500</v>
      </c>
      <c r="F99" s="19"/>
      <c r="G99" s="19"/>
      <c r="H99" s="19"/>
    </row>
    <row r="100" spans="1:8" ht="16" customHeight="1" x14ac:dyDescent="0.35">
      <c r="A100" s="24"/>
      <c r="B100" s="24"/>
      <c r="C100" s="24"/>
      <c r="D100" s="9" t="s">
        <v>501</v>
      </c>
      <c r="E100" s="24"/>
      <c r="F100" s="6" t="s">
        <v>318</v>
      </c>
      <c r="G100" s="45">
        <v>2800000</v>
      </c>
      <c r="H100" s="24"/>
    </row>
    <row r="101" spans="1:8" ht="16" customHeight="1" x14ac:dyDescent="0.35">
      <c r="A101" s="24"/>
      <c r="B101" s="24"/>
      <c r="C101" s="24"/>
      <c r="D101" s="9" t="s">
        <v>349</v>
      </c>
      <c r="E101" s="24"/>
      <c r="F101" s="6" t="s">
        <v>193</v>
      </c>
      <c r="G101" s="24"/>
      <c r="H101" s="46">
        <v>2800000</v>
      </c>
    </row>
    <row r="102" spans="1:8" ht="22" customHeight="1" x14ac:dyDescent="0.35">
      <c r="A102" s="41">
        <v>29</v>
      </c>
      <c r="B102" s="41" t="s">
        <v>497</v>
      </c>
      <c r="C102" s="42" t="s">
        <v>502</v>
      </c>
      <c r="D102" s="43" t="s">
        <v>503</v>
      </c>
      <c r="E102" s="44" t="s">
        <v>504</v>
      </c>
      <c r="F102" s="19"/>
      <c r="G102" s="19"/>
      <c r="H102" s="19"/>
    </row>
    <row r="103" spans="1:8" ht="16" customHeight="1" x14ac:dyDescent="0.35">
      <c r="A103" s="24"/>
      <c r="B103" s="24"/>
      <c r="C103" s="24"/>
      <c r="D103" s="9" t="s">
        <v>350</v>
      </c>
      <c r="E103" s="24"/>
      <c r="F103" s="6" t="s">
        <v>198</v>
      </c>
      <c r="G103" s="45">
        <v>44400000</v>
      </c>
      <c r="H103" s="24"/>
    </row>
    <row r="104" spans="1:8" ht="16" customHeight="1" x14ac:dyDescent="0.35">
      <c r="A104" s="24"/>
      <c r="B104" s="24"/>
      <c r="C104" s="24"/>
      <c r="D104" s="9" t="s">
        <v>352</v>
      </c>
      <c r="E104" s="24"/>
      <c r="F104" s="6" t="s">
        <v>202</v>
      </c>
      <c r="G104" s="24"/>
      <c r="H104" s="46">
        <v>44400000</v>
      </c>
    </row>
    <row r="105" spans="1:8" ht="22" customHeight="1" x14ac:dyDescent="0.35">
      <c r="A105" s="41">
        <v>30</v>
      </c>
      <c r="B105" s="41" t="s">
        <v>505</v>
      </c>
      <c r="C105" s="42" t="s">
        <v>506</v>
      </c>
      <c r="D105" s="43" t="s">
        <v>507</v>
      </c>
      <c r="E105" s="44" t="s">
        <v>508</v>
      </c>
      <c r="F105" s="19"/>
      <c r="G105" s="19"/>
      <c r="H105" s="19"/>
    </row>
    <row r="106" spans="1:8" ht="16" customHeight="1" x14ac:dyDescent="0.35">
      <c r="A106" s="24"/>
      <c r="B106" s="24"/>
      <c r="C106" s="24"/>
      <c r="D106" s="9" t="s">
        <v>509</v>
      </c>
      <c r="E106" s="24"/>
      <c r="F106" s="6" t="s">
        <v>296</v>
      </c>
      <c r="G106" s="45">
        <v>58500000</v>
      </c>
      <c r="H106" s="24"/>
    </row>
    <row r="107" spans="1:8" ht="16" customHeight="1" x14ac:dyDescent="0.35">
      <c r="A107" s="24"/>
      <c r="B107" s="24"/>
      <c r="C107" s="24"/>
      <c r="D107" s="9" t="s">
        <v>510</v>
      </c>
      <c r="E107" s="24"/>
      <c r="F107" s="6" t="s">
        <v>306</v>
      </c>
      <c r="G107" s="45">
        <v>39500000</v>
      </c>
      <c r="H107" s="24"/>
    </row>
    <row r="108" spans="1:8" ht="16" customHeight="1" x14ac:dyDescent="0.35">
      <c r="A108" s="24"/>
      <c r="B108" s="24"/>
      <c r="C108" s="24"/>
      <c r="D108" s="9" t="s">
        <v>371</v>
      </c>
      <c r="E108" s="24"/>
      <c r="F108" s="6" t="s">
        <v>252</v>
      </c>
      <c r="G108" s="24"/>
      <c r="H108" s="46">
        <v>11425000</v>
      </c>
    </row>
    <row r="109" spans="1:8" ht="16" customHeight="1" x14ac:dyDescent="0.35">
      <c r="A109" s="24"/>
      <c r="B109" s="24"/>
      <c r="C109" s="24"/>
      <c r="D109" s="9" t="s">
        <v>350</v>
      </c>
      <c r="E109" s="24"/>
      <c r="F109" s="6" t="s">
        <v>198</v>
      </c>
      <c r="G109" s="24"/>
      <c r="H109" s="46">
        <v>86575000</v>
      </c>
    </row>
    <row r="110" spans="1:8" ht="22" customHeight="1" x14ac:dyDescent="0.35">
      <c r="A110" s="41">
        <v>31</v>
      </c>
      <c r="B110" s="41" t="s">
        <v>511</v>
      </c>
      <c r="C110" s="42" t="s">
        <v>512</v>
      </c>
      <c r="D110" s="43" t="s">
        <v>513</v>
      </c>
      <c r="E110" s="44" t="s">
        <v>514</v>
      </c>
      <c r="F110" s="19"/>
      <c r="G110" s="19"/>
      <c r="H110" s="19"/>
    </row>
    <row r="111" spans="1:8" ht="16" customHeight="1" x14ac:dyDescent="0.35">
      <c r="A111" s="24"/>
      <c r="B111" s="24"/>
      <c r="C111" s="24"/>
      <c r="D111" s="9" t="s">
        <v>387</v>
      </c>
      <c r="E111" s="24"/>
      <c r="F111" s="6" t="s">
        <v>256</v>
      </c>
      <c r="G111" s="45">
        <v>22000000</v>
      </c>
      <c r="H111" s="24"/>
    </row>
    <row r="112" spans="1:8" ht="16" customHeight="1" x14ac:dyDescent="0.35">
      <c r="A112" s="24"/>
      <c r="B112" s="24"/>
      <c r="C112" s="24"/>
      <c r="D112" s="9" t="s">
        <v>399</v>
      </c>
      <c r="E112" s="24"/>
      <c r="F112" s="6" t="s">
        <v>215</v>
      </c>
      <c r="G112" s="24"/>
      <c r="H112" s="46">
        <v>16500000</v>
      </c>
    </row>
    <row r="113" spans="1:8" ht="16" customHeight="1" x14ac:dyDescent="0.35">
      <c r="A113" s="24"/>
      <c r="B113" s="24"/>
      <c r="C113" s="24"/>
      <c r="D113" s="9" t="s">
        <v>350</v>
      </c>
      <c r="E113" s="24"/>
      <c r="F113" s="6" t="s">
        <v>198</v>
      </c>
      <c r="G113" s="24"/>
      <c r="H113" s="46">
        <v>5500000</v>
      </c>
    </row>
    <row r="114" spans="1:8" ht="22" customHeight="1" x14ac:dyDescent="0.35">
      <c r="A114" s="41">
        <v>32</v>
      </c>
      <c r="B114" s="41" t="s">
        <v>511</v>
      </c>
      <c r="C114" s="42" t="s">
        <v>515</v>
      </c>
      <c r="D114" s="43" t="s">
        <v>516</v>
      </c>
      <c r="E114" s="44" t="s">
        <v>517</v>
      </c>
      <c r="F114" s="19"/>
      <c r="G114" s="19"/>
      <c r="H114" s="19"/>
    </row>
    <row r="115" spans="1:8" ht="16" customHeight="1" x14ac:dyDescent="0.35">
      <c r="A115" s="24"/>
      <c r="B115" s="24"/>
      <c r="C115" s="24"/>
      <c r="D115" s="9" t="s">
        <v>518</v>
      </c>
      <c r="E115" s="24"/>
      <c r="F115" s="6" t="s">
        <v>320</v>
      </c>
      <c r="G115" s="45">
        <v>850000</v>
      </c>
      <c r="H115" s="24"/>
    </row>
    <row r="116" spans="1:8" ht="16" customHeight="1" x14ac:dyDescent="0.35">
      <c r="A116" s="24"/>
      <c r="B116" s="24"/>
      <c r="C116" s="24"/>
      <c r="D116" s="9" t="s">
        <v>349</v>
      </c>
      <c r="E116" s="24"/>
      <c r="F116" s="6" t="s">
        <v>193</v>
      </c>
      <c r="G116" s="24"/>
      <c r="H116" s="46">
        <v>850000</v>
      </c>
    </row>
    <row r="118" spans="1:8" ht="20" customHeight="1" x14ac:dyDescent="0.35">
      <c r="A118" s="34"/>
      <c r="B118" s="108" t="s">
        <v>519</v>
      </c>
      <c r="C118" s="99"/>
      <c r="D118" s="99"/>
      <c r="E118" s="99"/>
      <c r="F118" s="99"/>
      <c r="G118" s="29">
        <f>SUM(G5:G116)</f>
        <v>839567000</v>
      </c>
      <c r="H118" s="29">
        <f>SUM(H5:H116)</f>
        <v>839567000</v>
      </c>
    </row>
    <row r="119" spans="1:8" x14ac:dyDescent="0.35">
      <c r="E119" s="119" t="s">
        <v>376</v>
      </c>
      <c r="F119" s="119"/>
      <c r="G119" s="47">
        <f>G118-H118</f>
        <v>0</v>
      </c>
    </row>
  </sheetData>
  <mergeCells count="4">
    <mergeCell ref="A3:H3"/>
    <mergeCell ref="A2:H2"/>
    <mergeCell ref="B118:F118"/>
    <mergeCell ref="E119:F1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2"/>
  <sheetViews>
    <sheetView showGridLines="0" workbookViewId="0"/>
  </sheetViews>
  <sheetFormatPr defaultRowHeight="14.5" x14ac:dyDescent="0.35"/>
  <cols>
    <col min="1" max="1" width="6" customWidth="1"/>
    <col min="2" max="2" width="12" customWidth="1"/>
    <col min="3" max="3" width="10" customWidth="1"/>
    <col min="4" max="4" width="44" customWidth="1"/>
    <col min="5" max="5" width="38" customWidth="1"/>
    <col min="6" max="6" width="10" customWidth="1"/>
    <col min="7" max="8" width="18" customWidth="1"/>
  </cols>
  <sheetData>
    <row r="2" spans="1:8" ht="16.5" x14ac:dyDescent="0.35">
      <c r="A2" s="105" t="s">
        <v>0</v>
      </c>
      <c r="B2" s="99"/>
      <c r="C2" s="99"/>
      <c r="D2" s="99"/>
      <c r="E2" s="99"/>
      <c r="F2" s="99"/>
      <c r="G2" s="99"/>
      <c r="H2" s="99"/>
    </row>
    <row r="3" spans="1:8" x14ac:dyDescent="0.35">
      <c r="A3" s="100" t="s">
        <v>520</v>
      </c>
      <c r="B3" s="106"/>
      <c r="C3" s="106"/>
      <c r="D3" s="106"/>
      <c r="E3" s="106"/>
      <c r="F3" s="106"/>
      <c r="G3" s="106"/>
      <c r="H3" s="106"/>
    </row>
    <row r="4" spans="1:8" ht="30" customHeight="1" x14ac:dyDescent="0.35">
      <c r="A4" s="40" t="s">
        <v>3</v>
      </c>
      <c r="B4" s="40" t="s">
        <v>379</v>
      </c>
      <c r="C4" s="40" t="s">
        <v>380</v>
      </c>
      <c r="D4" s="40" t="s">
        <v>381</v>
      </c>
      <c r="E4" s="40" t="s">
        <v>521</v>
      </c>
      <c r="F4" s="40" t="s">
        <v>186</v>
      </c>
      <c r="G4" s="40" t="s">
        <v>347</v>
      </c>
      <c r="H4" s="40" t="s">
        <v>348</v>
      </c>
    </row>
    <row r="5" spans="1:8" ht="22" customHeight="1" x14ac:dyDescent="0.35">
      <c r="A5" s="48">
        <v>1</v>
      </c>
      <c r="B5" s="48" t="s">
        <v>511</v>
      </c>
      <c r="C5" s="49" t="s">
        <v>522</v>
      </c>
      <c r="D5" s="50" t="s">
        <v>523</v>
      </c>
      <c r="E5" s="51" t="s">
        <v>524</v>
      </c>
      <c r="F5" s="22"/>
      <c r="G5" s="22"/>
      <c r="H5" s="22"/>
    </row>
    <row r="6" spans="1:8" ht="16" customHeight="1" x14ac:dyDescent="0.35">
      <c r="A6" s="24"/>
      <c r="B6" s="24"/>
      <c r="C6" s="24"/>
      <c r="D6" s="9" t="s">
        <v>525</v>
      </c>
      <c r="E6" s="24"/>
      <c r="F6" s="6" t="s">
        <v>325</v>
      </c>
      <c r="G6" s="45">
        <v>1458333</v>
      </c>
      <c r="H6" s="24"/>
    </row>
    <row r="7" spans="1:8" ht="16" customHeight="1" x14ac:dyDescent="0.35">
      <c r="A7" s="24"/>
      <c r="B7" s="24"/>
      <c r="C7" s="24"/>
      <c r="D7" s="9" t="s">
        <v>358</v>
      </c>
      <c r="E7" s="24"/>
      <c r="F7" s="6" t="s">
        <v>223</v>
      </c>
      <c r="G7" s="24"/>
      <c r="H7" s="46">
        <v>1458333</v>
      </c>
    </row>
    <row r="8" spans="1:8" ht="22" customHeight="1" x14ac:dyDescent="0.35">
      <c r="A8" s="48">
        <v>2</v>
      </c>
      <c r="B8" s="48" t="s">
        <v>511</v>
      </c>
      <c r="C8" s="49" t="s">
        <v>526</v>
      </c>
      <c r="D8" s="50" t="s">
        <v>527</v>
      </c>
      <c r="E8" s="51" t="s">
        <v>528</v>
      </c>
      <c r="F8" s="22"/>
      <c r="G8" s="22"/>
      <c r="H8" s="22"/>
    </row>
    <row r="9" spans="1:8" ht="16" customHeight="1" x14ac:dyDescent="0.35">
      <c r="A9" s="24"/>
      <c r="B9" s="24"/>
      <c r="C9" s="24"/>
      <c r="D9" s="9" t="s">
        <v>529</v>
      </c>
      <c r="E9" s="24"/>
      <c r="F9" s="6" t="s">
        <v>327</v>
      </c>
      <c r="G9" s="45">
        <v>791667</v>
      </c>
      <c r="H9" s="24"/>
    </row>
    <row r="10" spans="1:8" ht="16" customHeight="1" x14ac:dyDescent="0.35">
      <c r="A10" s="24"/>
      <c r="B10" s="24"/>
      <c r="C10" s="24"/>
      <c r="D10" s="9" t="s">
        <v>360</v>
      </c>
      <c r="E10" s="24"/>
      <c r="F10" s="6" t="s">
        <v>227</v>
      </c>
      <c r="G10" s="24"/>
      <c r="H10" s="46">
        <v>791667</v>
      </c>
    </row>
    <row r="11" spans="1:8" ht="22" customHeight="1" x14ac:dyDescent="0.35">
      <c r="A11" s="48">
        <v>3</v>
      </c>
      <c r="B11" s="48" t="s">
        <v>511</v>
      </c>
      <c r="C11" s="49" t="s">
        <v>530</v>
      </c>
      <c r="D11" s="50" t="s">
        <v>531</v>
      </c>
      <c r="E11" s="51" t="s">
        <v>532</v>
      </c>
      <c r="F11" s="22"/>
      <c r="G11" s="22"/>
      <c r="H11" s="22"/>
    </row>
    <row r="12" spans="1:8" ht="16" customHeight="1" x14ac:dyDescent="0.35">
      <c r="A12" s="24"/>
      <c r="B12" s="24"/>
      <c r="C12" s="24"/>
      <c r="D12" s="9" t="s">
        <v>533</v>
      </c>
      <c r="E12" s="24"/>
      <c r="F12" s="6" t="s">
        <v>329</v>
      </c>
      <c r="G12" s="45">
        <v>533333</v>
      </c>
      <c r="H12" s="24"/>
    </row>
    <row r="13" spans="1:8" ht="16" customHeight="1" x14ac:dyDescent="0.35">
      <c r="A13" s="24"/>
      <c r="B13" s="24"/>
      <c r="C13" s="24"/>
      <c r="D13" s="9" t="s">
        <v>362</v>
      </c>
      <c r="E13" s="24"/>
      <c r="F13" s="6" t="s">
        <v>231</v>
      </c>
      <c r="G13" s="24"/>
      <c r="H13" s="46">
        <v>533333</v>
      </c>
    </row>
    <row r="14" spans="1:8" ht="22" customHeight="1" x14ac:dyDescent="0.35">
      <c r="A14" s="48">
        <v>4</v>
      </c>
      <c r="B14" s="48" t="s">
        <v>511</v>
      </c>
      <c r="C14" s="49" t="s">
        <v>534</v>
      </c>
      <c r="D14" s="50" t="s">
        <v>535</v>
      </c>
      <c r="E14" s="51" t="s">
        <v>536</v>
      </c>
      <c r="F14" s="22"/>
      <c r="G14" s="22"/>
      <c r="H14" s="22"/>
    </row>
    <row r="15" spans="1:8" ht="16" customHeight="1" x14ac:dyDescent="0.35">
      <c r="A15" s="24"/>
      <c r="B15" s="24"/>
      <c r="C15" s="24"/>
      <c r="D15" s="9" t="s">
        <v>537</v>
      </c>
      <c r="E15" s="24"/>
      <c r="F15" s="6" t="s">
        <v>331</v>
      </c>
      <c r="G15" s="45">
        <v>1041667</v>
      </c>
      <c r="H15" s="24"/>
    </row>
    <row r="16" spans="1:8" ht="16" customHeight="1" x14ac:dyDescent="0.35">
      <c r="A16" s="24"/>
      <c r="B16" s="24"/>
      <c r="C16" s="24"/>
      <c r="D16" s="9" t="s">
        <v>364</v>
      </c>
      <c r="E16" s="24"/>
      <c r="F16" s="6" t="s">
        <v>235</v>
      </c>
      <c r="G16" s="24"/>
      <c r="H16" s="46">
        <v>1041667</v>
      </c>
    </row>
    <row r="17" spans="1:8" ht="22" customHeight="1" x14ac:dyDescent="0.35">
      <c r="A17" s="48">
        <v>5</v>
      </c>
      <c r="B17" s="48" t="s">
        <v>511</v>
      </c>
      <c r="C17" s="49" t="s">
        <v>538</v>
      </c>
      <c r="D17" s="50" t="s">
        <v>539</v>
      </c>
      <c r="E17" s="51" t="s">
        <v>540</v>
      </c>
      <c r="F17" s="22"/>
      <c r="G17" s="22"/>
      <c r="H17" s="22"/>
    </row>
    <row r="18" spans="1:8" ht="16" customHeight="1" x14ac:dyDescent="0.35">
      <c r="A18" s="24"/>
      <c r="B18" s="24"/>
      <c r="C18" s="24"/>
      <c r="D18" s="9" t="s">
        <v>541</v>
      </c>
      <c r="E18" s="24"/>
      <c r="F18" s="6" t="s">
        <v>333</v>
      </c>
      <c r="G18" s="45">
        <v>466667</v>
      </c>
      <c r="H18" s="24"/>
    </row>
    <row r="19" spans="1:8" ht="16" customHeight="1" x14ac:dyDescent="0.35">
      <c r="A19" s="24"/>
      <c r="B19" s="24"/>
      <c r="C19" s="24"/>
      <c r="D19" s="9" t="s">
        <v>366</v>
      </c>
      <c r="E19" s="24"/>
      <c r="F19" s="6" t="s">
        <v>239</v>
      </c>
      <c r="G19" s="24"/>
      <c r="H19" s="46">
        <v>466667</v>
      </c>
    </row>
    <row r="20" spans="1:8" ht="22" customHeight="1" x14ac:dyDescent="0.35">
      <c r="A20" s="48">
        <v>6</v>
      </c>
      <c r="B20" s="48" t="s">
        <v>511</v>
      </c>
      <c r="C20" s="49" t="s">
        <v>542</v>
      </c>
      <c r="D20" s="50" t="s">
        <v>543</v>
      </c>
      <c r="E20" s="51" t="s">
        <v>544</v>
      </c>
      <c r="F20" s="22"/>
      <c r="G20" s="22"/>
      <c r="H20" s="22"/>
    </row>
    <row r="21" spans="1:8" ht="16" customHeight="1" x14ac:dyDescent="0.35">
      <c r="A21" s="24"/>
      <c r="B21" s="24"/>
      <c r="C21" s="24"/>
      <c r="D21" s="9" t="s">
        <v>545</v>
      </c>
      <c r="E21" s="24"/>
      <c r="F21" s="6" t="s">
        <v>335</v>
      </c>
      <c r="G21" s="45">
        <v>833333</v>
      </c>
      <c r="H21" s="24"/>
    </row>
    <row r="22" spans="1:8" ht="16" customHeight="1" x14ac:dyDescent="0.35">
      <c r="A22" s="24"/>
      <c r="B22" s="24"/>
      <c r="C22" s="24"/>
      <c r="D22" s="9" t="s">
        <v>368</v>
      </c>
      <c r="E22" s="24"/>
      <c r="F22" s="6" t="s">
        <v>243</v>
      </c>
      <c r="G22" s="24"/>
      <c r="H22" s="46">
        <v>833333</v>
      </c>
    </row>
    <row r="23" spans="1:8" ht="22" customHeight="1" x14ac:dyDescent="0.35">
      <c r="A23" s="48">
        <v>7</v>
      </c>
      <c r="B23" s="48" t="s">
        <v>511</v>
      </c>
      <c r="C23" s="49" t="s">
        <v>546</v>
      </c>
      <c r="D23" s="50" t="s">
        <v>547</v>
      </c>
      <c r="E23" s="51" t="s">
        <v>548</v>
      </c>
      <c r="F23" s="22"/>
      <c r="G23" s="22"/>
      <c r="H23" s="22"/>
    </row>
    <row r="24" spans="1:8" ht="16" customHeight="1" x14ac:dyDescent="0.35">
      <c r="A24" s="24"/>
      <c r="B24" s="24"/>
      <c r="C24" s="24"/>
      <c r="D24" s="9" t="s">
        <v>549</v>
      </c>
      <c r="E24" s="24"/>
      <c r="F24" s="6" t="s">
        <v>314</v>
      </c>
      <c r="G24" s="45">
        <v>4200000</v>
      </c>
      <c r="H24" s="24"/>
    </row>
    <row r="25" spans="1:8" ht="16" customHeight="1" x14ac:dyDescent="0.35">
      <c r="A25" s="24"/>
      <c r="B25" s="24"/>
      <c r="C25" s="24"/>
      <c r="D25" s="9" t="s">
        <v>354</v>
      </c>
      <c r="E25" s="24"/>
      <c r="F25" s="6" t="s">
        <v>209</v>
      </c>
      <c r="G25" s="24"/>
      <c r="H25" s="46">
        <v>4200000</v>
      </c>
    </row>
    <row r="26" spans="1:8" ht="22" customHeight="1" x14ac:dyDescent="0.35">
      <c r="A26" s="48">
        <v>8</v>
      </c>
      <c r="B26" s="48" t="s">
        <v>511</v>
      </c>
      <c r="C26" s="49" t="s">
        <v>550</v>
      </c>
      <c r="D26" s="50" t="s">
        <v>551</v>
      </c>
      <c r="E26" s="51" t="s">
        <v>552</v>
      </c>
      <c r="F26" s="22"/>
      <c r="G26" s="22"/>
      <c r="H26" s="22"/>
    </row>
    <row r="27" spans="1:8" ht="16" customHeight="1" x14ac:dyDescent="0.35">
      <c r="A27" s="24"/>
      <c r="B27" s="24"/>
      <c r="C27" s="24"/>
      <c r="D27" s="9" t="s">
        <v>553</v>
      </c>
      <c r="E27" s="24"/>
      <c r="F27" s="6" t="s">
        <v>322</v>
      </c>
      <c r="G27" s="45">
        <v>1000000</v>
      </c>
      <c r="H27" s="24"/>
    </row>
    <row r="28" spans="1:8" ht="16" customHeight="1" x14ac:dyDescent="0.35">
      <c r="A28" s="24"/>
      <c r="B28" s="24"/>
      <c r="C28" s="24"/>
      <c r="D28" s="9" t="s">
        <v>356</v>
      </c>
      <c r="E28" s="24"/>
      <c r="F28" s="6" t="s">
        <v>213</v>
      </c>
      <c r="G28" s="24"/>
      <c r="H28" s="46">
        <v>1000000</v>
      </c>
    </row>
    <row r="29" spans="1:8" ht="22" customHeight="1" x14ac:dyDescent="0.35">
      <c r="A29" s="48">
        <v>9</v>
      </c>
      <c r="B29" s="48" t="s">
        <v>511</v>
      </c>
      <c r="C29" s="49" t="s">
        <v>554</v>
      </c>
      <c r="D29" s="50" t="s">
        <v>555</v>
      </c>
      <c r="E29" s="51" t="s">
        <v>556</v>
      </c>
      <c r="F29" s="22"/>
      <c r="G29" s="22"/>
      <c r="H29" s="22"/>
    </row>
    <row r="30" spans="1:8" ht="16" customHeight="1" x14ac:dyDescent="0.35">
      <c r="A30" s="24"/>
      <c r="B30" s="24"/>
      <c r="C30" s="24"/>
      <c r="D30" s="9" t="s">
        <v>557</v>
      </c>
      <c r="E30" s="24"/>
      <c r="F30" s="6" t="s">
        <v>338</v>
      </c>
      <c r="G30" s="45">
        <v>217000</v>
      </c>
      <c r="H30" s="24"/>
    </row>
    <row r="31" spans="1:8" ht="16" customHeight="1" x14ac:dyDescent="0.35">
      <c r="A31" s="24"/>
      <c r="B31" s="24"/>
      <c r="C31" s="24"/>
      <c r="D31" s="9" t="s">
        <v>353</v>
      </c>
      <c r="E31" s="24"/>
      <c r="F31" s="6" t="s">
        <v>204</v>
      </c>
      <c r="G31" s="24"/>
      <c r="H31" s="46">
        <v>217000</v>
      </c>
    </row>
    <row r="32" spans="1:8" ht="22" customHeight="1" x14ac:dyDescent="0.35">
      <c r="A32" s="48">
        <v>10</v>
      </c>
      <c r="B32" s="48" t="s">
        <v>511</v>
      </c>
      <c r="C32" s="49" t="s">
        <v>558</v>
      </c>
      <c r="D32" s="50" t="s">
        <v>559</v>
      </c>
      <c r="E32" s="51" t="s">
        <v>560</v>
      </c>
      <c r="F32" s="22"/>
      <c r="G32" s="22"/>
      <c r="H32" s="22"/>
    </row>
    <row r="33" spans="1:8" ht="16" customHeight="1" x14ac:dyDescent="0.35">
      <c r="A33" s="24"/>
      <c r="B33" s="24"/>
      <c r="C33" s="24"/>
      <c r="D33" s="9" t="s">
        <v>509</v>
      </c>
      <c r="E33" s="24"/>
      <c r="F33" s="6" t="s">
        <v>296</v>
      </c>
      <c r="G33" s="24"/>
      <c r="H33" s="24"/>
    </row>
    <row r="34" spans="1:8" ht="16" customHeight="1" x14ac:dyDescent="0.35">
      <c r="A34" s="24"/>
      <c r="B34" s="24"/>
      <c r="C34" s="24"/>
      <c r="D34" s="9" t="s">
        <v>510</v>
      </c>
      <c r="E34" s="24"/>
      <c r="F34" s="6" t="s">
        <v>306</v>
      </c>
      <c r="G34" s="24"/>
      <c r="H34" s="24"/>
    </row>
    <row r="35" spans="1:8" ht="16" customHeight="1" x14ac:dyDescent="0.35">
      <c r="A35" s="24"/>
      <c r="B35" s="24"/>
      <c r="C35" s="24"/>
      <c r="D35" s="9" t="s">
        <v>370</v>
      </c>
      <c r="E35" s="24"/>
      <c r="F35" s="6" t="s">
        <v>250</v>
      </c>
      <c r="G35" s="24"/>
      <c r="H35" s="24"/>
    </row>
    <row r="36" spans="1:8" ht="22" customHeight="1" x14ac:dyDescent="0.35">
      <c r="A36" s="48">
        <v>11</v>
      </c>
      <c r="B36" s="48" t="s">
        <v>511</v>
      </c>
      <c r="C36" s="49" t="s">
        <v>561</v>
      </c>
      <c r="D36" s="50" t="s">
        <v>562</v>
      </c>
      <c r="E36" s="51" t="s">
        <v>563</v>
      </c>
      <c r="F36" s="22"/>
      <c r="G36" s="22"/>
      <c r="H36" s="22"/>
    </row>
    <row r="37" spans="1:8" ht="16" customHeight="1" x14ac:dyDescent="0.35">
      <c r="A37" s="24"/>
      <c r="B37" s="24"/>
      <c r="C37" s="24"/>
      <c r="D37" s="9" t="s">
        <v>391</v>
      </c>
      <c r="E37" s="24"/>
      <c r="F37" s="6" t="s">
        <v>308</v>
      </c>
      <c r="G37" s="45">
        <v>2000000</v>
      </c>
      <c r="H37" s="24"/>
    </row>
    <row r="38" spans="1:8" ht="16" customHeight="1" x14ac:dyDescent="0.35">
      <c r="A38" s="24"/>
      <c r="B38" s="24"/>
      <c r="C38" s="24"/>
      <c r="D38" s="9" t="s">
        <v>355</v>
      </c>
      <c r="E38" s="24"/>
      <c r="F38" s="6" t="s">
        <v>211</v>
      </c>
      <c r="G38" s="24"/>
      <c r="H38" s="46">
        <v>2000000</v>
      </c>
    </row>
    <row r="39" spans="1:8" ht="22" customHeight="1" x14ac:dyDescent="0.35">
      <c r="A39" s="48">
        <v>12</v>
      </c>
      <c r="B39" s="48" t="s">
        <v>511</v>
      </c>
      <c r="C39" s="49" t="s">
        <v>564</v>
      </c>
      <c r="D39" s="50" t="s">
        <v>565</v>
      </c>
      <c r="E39" s="51" t="s">
        <v>566</v>
      </c>
      <c r="F39" s="22"/>
      <c r="G39" s="22"/>
      <c r="H39" s="22"/>
    </row>
    <row r="40" spans="1:8" ht="16" customHeight="1" x14ac:dyDescent="0.35">
      <c r="A40" s="24"/>
      <c r="B40" s="24"/>
      <c r="C40" s="24"/>
      <c r="D40" s="9" t="s">
        <v>567</v>
      </c>
      <c r="E40" s="24"/>
      <c r="F40" s="6"/>
      <c r="G40" s="24"/>
      <c r="H40" s="24"/>
    </row>
    <row r="42" spans="1:8" x14ac:dyDescent="0.35">
      <c r="A42" s="34"/>
      <c r="B42" s="108" t="s">
        <v>568</v>
      </c>
      <c r="C42" s="99"/>
      <c r="D42" s="99"/>
      <c r="E42" s="99"/>
      <c r="F42" s="99"/>
      <c r="G42" s="29">
        <f>SUM(G5:G40)</f>
        <v>12542000</v>
      </c>
      <c r="H42" s="29">
        <f>SUM(H5:H40)</f>
        <v>12542000</v>
      </c>
    </row>
  </sheetData>
  <mergeCells count="3">
    <mergeCell ref="A3:H3"/>
    <mergeCell ref="A2:H2"/>
    <mergeCell ref="B42:F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57"/>
  <sheetViews>
    <sheetView showGridLines="0" topLeftCell="A55" workbookViewId="0"/>
  </sheetViews>
  <sheetFormatPr defaultRowHeight="14.5" x14ac:dyDescent="0.35"/>
  <cols>
    <col min="1" max="1" width="10" customWidth="1"/>
    <col min="2" max="2" width="42" customWidth="1"/>
    <col min="3" max="4" width="18" customWidth="1"/>
    <col min="5" max="5" width="30" customWidth="1"/>
  </cols>
  <sheetData>
    <row r="2" spans="1:5" ht="18" x14ac:dyDescent="0.35">
      <c r="A2" s="107" t="s">
        <v>0</v>
      </c>
      <c r="B2" s="99"/>
      <c r="C2" s="99"/>
      <c r="D2" s="99"/>
      <c r="E2" s="99"/>
    </row>
    <row r="3" spans="1:5" x14ac:dyDescent="0.35">
      <c r="A3" s="100" t="s">
        <v>569</v>
      </c>
      <c r="B3" s="106"/>
      <c r="C3" s="106"/>
      <c r="D3" s="106"/>
      <c r="E3" s="106"/>
    </row>
    <row r="4" spans="1:5" x14ac:dyDescent="0.35">
      <c r="A4" s="1" t="s">
        <v>186</v>
      </c>
      <c r="B4" s="1" t="s">
        <v>187</v>
      </c>
      <c r="C4" s="1" t="s">
        <v>347</v>
      </c>
      <c r="D4" s="1" t="s">
        <v>348</v>
      </c>
      <c r="E4" s="1" t="s">
        <v>6</v>
      </c>
    </row>
    <row r="5" spans="1:5" ht="15" customHeight="1" x14ac:dyDescent="0.35">
      <c r="A5" s="2" t="s">
        <v>193</v>
      </c>
      <c r="B5" s="13" t="s">
        <v>349</v>
      </c>
      <c r="C5" s="52"/>
      <c r="D5" s="53"/>
      <c r="E5" s="54" t="s">
        <v>570</v>
      </c>
    </row>
    <row r="6" spans="1:5" ht="15" customHeight="1" x14ac:dyDescent="0.35">
      <c r="A6" s="6" t="s">
        <v>198</v>
      </c>
      <c r="B6" s="16" t="s">
        <v>350</v>
      </c>
      <c r="C6" s="52"/>
      <c r="D6" s="53"/>
      <c r="E6" s="54" t="s">
        <v>570</v>
      </c>
    </row>
    <row r="7" spans="1:5" ht="15" customHeight="1" x14ac:dyDescent="0.35">
      <c r="A7" s="2" t="s">
        <v>200</v>
      </c>
      <c r="B7" s="13" t="s">
        <v>351</v>
      </c>
      <c r="C7" s="52"/>
      <c r="D7" s="53"/>
      <c r="E7" s="54" t="s">
        <v>570</v>
      </c>
    </row>
    <row r="8" spans="1:5" ht="15" customHeight="1" x14ac:dyDescent="0.35">
      <c r="A8" s="6" t="s">
        <v>202</v>
      </c>
      <c r="B8" s="16" t="s">
        <v>352</v>
      </c>
      <c r="C8" s="52"/>
      <c r="D8" s="53"/>
      <c r="E8" s="54" t="s">
        <v>570</v>
      </c>
    </row>
    <row r="9" spans="1:5" ht="15" customHeight="1" x14ac:dyDescent="0.35">
      <c r="A9" s="2" t="s">
        <v>204</v>
      </c>
      <c r="B9" s="13" t="s">
        <v>353</v>
      </c>
      <c r="C9" s="52"/>
      <c r="D9" s="53"/>
      <c r="E9" s="54" t="s">
        <v>570</v>
      </c>
    </row>
    <row r="10" spans="1:5" ht="15" customHeight="1" x14ac:dyDescent="0.35">
      <c r="A10" s="6" t="s">
        <v>209</v>
      </c>
      <c r="B10" s="16" t="s">
        <v>354</v>
      </c>
      <c r="C10" s="52"/>
      <c r="D10" s="53"/>
      <c r="E10" s="54" t="s">
        <v>570</v>
      </c>
    </row>
    <row r="11" spans="1:5" ht="15" customHeight="1" x14ac:dyDescent="0.35">
      <c r="A11" s="2" t="s">
        <v>211</v>
      </c>
      <c r="B11" s="13" t="s">
        <v>355</v>
      </c>
      <c r="C11" s="52"/>
      <c r="D11" s="53"/>
      <c r="E11" s="54" t="s">
        <v>570</v>
      </c>
    </row>
    <row r="12" spans="1:5" ht="15" customHeight="1" x14ac:dyDescent="0.35">
      <c r="A12" s="6" t="s">
        <v>213</v>
      </c>
      <c r="B12" s="16" t="s">
        <v>356</v>
      </c>
      <c r="C12" s="52"/>
      <c r="D12" s="53"/>
      <c r="E12" s="54" t="s">
        <v>570</v>
      </c>
    </row>
    <row r="13" spans="1:5" ht="15" customHeight="1" x14ac:dyDescent="0.35">
      <c r="A13" s="2" t="s">
        <v>215</v>
      </c>
      <c r="B13" s="13" t="s">
        <v>399</v>
      </c>
      <c r="C13" s="52"/>
      <c r="D13" s="53"/>
      <c r="E13" s="54" t="s">
        <v>570</v>
      </c>
    </row>
    <row r="14" spans="1:5" ht="15" customHeight="1" x14ac:dyDescent="0.35">
      <c r="A14" s="6" t="s">
        <v>217</v>
      </c>
      <c r="B14" s="16" t="s">
        <v>571</v>
      </c>
      <c r="C14" s="52"/>
      <c r="D14" s="53"/>
      <c r="E14" s="54" t="s">
        <v>570</v>
      </c>
    </row>
    <row r="15" spans="1:5" ht="15" customHeight="1" x14ac:dyDescent="0.35">
      <c r="A15" s="2" t="s">
        <v>220</v>
      </c>
      <c r="B15" s="13" t="s">
        <v>357</v>
      </c>
      <c r="C15" s="52"/>
      <c r="D15" s="53"/>
      <c r="E15" s="54" t="s">
        <v>570</v>
      </c>
    </row>
    <row r="16" spans="1:5" ht="15" customHeight="1" x14ac:dyDescent="0.35">
      <c r="A16" s="6" t="s">
        <v>223</v>
      </c>
      <c r="B16" s="16" t="s">
        <v>358</v>
      </c>
      <c r="C16" s="52"/>
      <c r="D16" s="53"/>
      <c r="E16" s="54" t="s">
        <v>570</v>
      </c>
    </row>
    <row r="17" spans="1:5" ht="15" customHeight="1" x14ac:dyDescent="0.35">
      <c r="A17" s="2" t="s">
        <v>225</v>
      </c>
      <c r="B17" s="13" t="s">
        <v>359</v>
      </c>
      <c r="C17" s="52"/>
      <c r="D17" s="53"/>
      <c r="E17" s="54" t="s">
        <v>570</v>
      </c>
    </row>
    <row r="18" spans="1:5" ht="15" customHeight="1" x14ac:dyDescent="0.35">
      <c r="A18" s="6" t="s">
        <v>227</v>
      </c>
      <c r="B18" s="16" t="s">
        <v>360</v>
      </c>
      <c r="C18" s="52"/>
      <c r="D18" s="53"/>
      <c r="E18" s="54" t="s">
        <v>570</v>
      </c>
    </row>
    <row r="19" spans="1:5" ht="15" customHeight="1" x14ac:dyDescent="0.35">
      <c r="A19" s="2" t="s">
        <v>229</v>
      </c>
      <c r="B19" s="13" t="s">
        <v>361</v>
      </c>
      <c r="C19" s="52"/>
      <c r="D19" s="53"/>
      <c r="E19" s="54" t="s">
        <v>570</v>
      </c>
    </row>
    <row r="20" spans="1:5" ht="15" customHeight="1" x14ac:dyDescent="0.35">
      <c r="A20" s="6" t="s">
        <v>231</v>
      </c>
      <c r="B20" s="16" t="s">
        <v>362</v>
      </c>
      <c r="C20" s="52"/>
      <c r="D20" s="53"/>
      <c r="E20" s="54" t="s">
        <v>570</v>
      </c>
    </row>
    <row r="21" spans="1:5" ht="15" customHeight="1" x14ac:dyDescent="0.35">
      <c r="A21" s="2" t="s">
        <v>233</v>
      </c>
      <c r="B21" s="13" t="s">
        <v>363</v>
      </c>
      <c r="C21" s="52"/>
      <c r="D21" s="53"/>
      <c r="E21" s="54" t="s">
        <v>570</v>
      </c>
    </row>
    <row r="22" spans="1:5" ht="15" customHeight="1" x14ac:dyDescent="0.35">
      <c r="A22" s="6" t="s">
        <v>235</v>
      </c>
      <c r="B22" s="16" t="s">
        <v>364</v>
      </c>
      <c r="C22" s="52"/>
      <c r="D22" s="53"/>
      <c r="E22" s="54" t="s">
        <v>570</v>
      </c>
    </row>
    <row r="23" spans="1:5" ht="15" customHeight="1" x14ac:dyDescent="0.35">
      <c r="A23" s="2" t="s">
        <v>237</v>
      </c>
      <c r="B23" s="13" t="s">
        <v>365</v>
      </c>
      <c r="C23" s="52"/>
      <c r="D23" s="53"/>
      <c r="E23" s="54" t="s">
        <v>570</v>
      </c>
    </row>
    <row r="24" spans="1:5" ht="15" customHeight="1" x14ac:dyDescent="0.35">
      <c r="A24" s="6" t="s">
        <v>239</v>
      </c>
      <c r="B24" s="16" t="s">
        <v>366</v>
      </c>
      <c r="C24" s="52"/>
      <c r="D24" s="53"/>
      <c r="E24" s="54" t="s">
        <v>570</v>
      </c>
    </row>
    <row r="25" spans="1:5" ht="15" customHeight="1" x14ac:dyDescent="0.35">
      <c r="A25" s="2" t="s">
        <v>241</v>
      </c>
      <c r="B25" s="13" t="s">
        <v>367</v>
      </c>
      <c r="C25" s="52"/>
      <c r="D25" s="53"/>
      <c r="E25" s="54" t="s">
        <v>570</v>
      </c>
    </row>
    <row r="26" spans="1:5" ht="15" customHeight="1" x14ac:dyDescent="0.35">
      <c r="A26" s="6" t="s">
        <v>243</v>
      </c>
      <c r="B26" s="16" t="s">
        <v>368</v>
      </c>
      <c r="C26" s="52"/>
      <c r="D26" s="53"/>
      <c r="E26" s="54" t="s">
        <v>570</v>
      </c>
    </row>
    <row r="27" spans="1:5" ht="15" customHeight="1" x14ac:dyDescent="0.35">
      <c r="A27" s="2" t="s">
        <v>247</v>
      </c>
      <c r="B27" s="13" t="s">
        <v>369</v>
      </c>
      <c r="C27" s="52"/>
      <c r="D27" s="53"/>
      <c r="E27" s="54" t="s">
        <v>570</v>
      </c>
    </row>
    <row r="28" spans="1:5" ht="15" customHeight="1" x14ac:dyDescent="0.35">
      <c r="A28" s="6" t="s">
        <v>250</v>
      </c>
      <c r="B28" s="16" t="s">
        <v>370</v>
      </c>
      <c r="C28" s="52"/>
      <c r="D28" s="53"/>
      <c r="E28" s="54" t="s">
        <v>570</v>
      </c>
    </row>
    <row r="29" spans="1:5" ht="15" customHeight="1" x14ac:dyDescent="0.35">
      <c r="A29" s="2" t="s">
        <v>252</v>
      </c>
      <c r="B29" s="13" t="s">
        <v>371</v>
      </c>
      <c r="C29" s="52"/>
      <c r="D29" s="53"/>
      <c r="E29" s="54" t="s">
        <v>570</v>
      </c>
    </row>
    <row r="30" spans="1:5" ht="15" customHeight="1" x14ac:dyDescent="0.35">
      <c r="A30" s="6" t="s">
        <v>254</v>
      </c>
      <c r="B30" s="16" t="s">
        <v>572</v>
      </c>
      <c r="C30" s="52"/>
      <c r="D30" s="53"/>
      <c r="E30" s="54" t="s">
        <v>570</v>
      </c>
    </row>
    <row r="31" spans="1:5" ht="15" customHeight="1" x14ac:dyDescent="0.35">
      <c r="A31" s="2" t="s">
        <v>256</v>
      </c>
      <c r="B31" s="13" t="s">
        <v>387</v>
      </c>
      <c r="C31" s="52"/>
      <c r="D31" s="53"/>
      <c r="E31" s="54" t="s">
        <v>570</v>
      </c>
    </row>
    <row r="32" spans="1:5" ht="15" customHeight="1" x14ac:dyDescent="0.35">
      <c r="A32" s="6" t="s">
        <v>258</v>
      </c>
      <c r="B32" s="16" t="s">
        <v>372</v>
      </c>
      <c r="C32" s="52"/>
      <c r="D32" s="53"/>
      <c r="E32" s="54" t="s">
        <v>570</v>
      </c>
    </row>
    <row r="33" spans="1:5" ht="15" customHeight="1" x14ac:dyDescent="0.35">
      <c r="A33" s="2" t="s">
        <v>265</v>
      </c>
      <c r="B33" s="13" t="s">
        <v>373</v>
      </c>
      <c r="C33" s="52"/>
      <c r="D33" s="53"/>
      <c r="E33" s="54" t="s">
        <v>570</v>
      </c>
    </row>
    <row r="34" spans="1:5" ht="15" customHeight="1" x14ac:dyDescent="0.35">
      <c r="A34" s="6" t="s">
        <v>268</v>
      </c>
      <c r="B34" s="16" t="s">
        <v>374</v>
      </c>
      <c r="C34" s="52"/>
      <c r="D34" s="53"/>
      <c r="E34" s="54" t="s">
        <v>570</v>
      </c>
    </row>
    <row r="35" spans="1:5" ht="15" customHeight="1" x14ac:dyDescent="0.35">
      <c r="A35" s="2" t="s">
        <v>271</v>
      </c>
      <c r="B35" s="13" t="s">
        <v>375</v>
      </c>
      <c r="C35" s="52"/>
      <c r="D35" s="53"/>
      <c r="E35" s="54" t="s">
        <v>570</v>
      </c>
    </row>
    <row r="36" spans="1:5" ht="15" customHeight="1" x14ac:dyDescent="0.35">
      <c r="A36" s="6" t="s">
        <v>278</v>
      </c>
      <c r="B36" s="16" t="s">
        <v>404</v>
      </c>
      <c r="C36" s="52"/>
      <c r="D36" s="53"/>
      <c r="E36" s="54" t="s">
        <v>570</v>
      </c>
    </row>
    <row r="37" spans="1:5" ht="15" customHeight="1" x14ac:dyDescent="0.35">
      <c r="A37" s="2" t="s">
        <v>282</v>
      </c>
      <c r="B37" s="13" t="s">
        <v>417</v>
      </c>
      <c r="C37" s="52"/>
      <c r="D37" s="53"/>
      <c r="E37" s="54" t="s">
        <v>570</v>
      </c>
    </row>
    <row r="38" spans="1:5" ht="15" customHeight="1" x14ac:dyDescent="0.35">
      <c r="A38" s="6" t="s">
        <v>284</v>
      </c>
      <c r="B38" s="16" t="s">
        <v>430</v>
      </c>
      <c r="C38" s="52"/>
      <c r="D38" s="53"/>
      <c r="E38" s="54" t="s">
        <v>570</v>
      </c>
    </row>
    <row r="39" spans="1:5" ht="15" customHeight="1" x14ac:dyDescent="0.35">
      <c r="A39" s="2" t="s">
        <v>286</v>
      </c>
      <c r="B39" s="13" t="s">
        <v>455</v>
      </c>
      <c r="C39" s="52"/>
      <c r="D39" s="53"/>
      <c r="E39" s="54" t="s">
        <v>570</v>
      </c>
    </row>
    <row r="40" spans="1:5" ht="15" customHeight="1" x14ac:dyDescent="0.35">
      <c r="A40" s="6" t="s">
        <v>288</v>
      </c>
      <c r="B40" s="16" t="s">
        <v>475</v>
      </c>
      <c r="C40" s="52"/>
      <c r="D40" s="53"/>
      <c r="E40" s="54" t="s">
        <v>570</v>
      </c>
    </row>
    <row r="41" spans="1:5" ht="15" customHeight="1" x14ac:dyDescent="0.35">
      <c r="A41" s="2" t="s">
        <v>290</v>
      </c>
      <c r="B41" s="13" t="s">
        <v>484</v>
      </c>
      <c r="C41" s="52"/>
      <c r="D41" s="53"/>
      <c r="E41" s="54" t="s">
        <v>570</v>
      </c>
    </row>
    <row r="42" spans="1:5" ht="15" customHeight="1" x14ac:dyDescent="0.35">
      <c r="A42" s="6" t="s">
        <v>296</v>
      </c>
      <c r="B42" s="16" t="s">
        <v>509</v>
      </c>
      <c r="C42" s="52"/>
      <c r="D42" s="53"/>
      <c r="E42" s="54" t="s">
        <v>570</v>
      </c>
    </row>
    <row r="43" spans="1:5" ht="15" customHeight="1" x14ac:dyDescent="0.35">
      <c r="A43" s="2" t="s">
        <v>301</v>
      </c>
      <c r="B43" s="13" t="s">
        <v>422</v>
      </c>
      <c r="C43" s="52"/>
      <c r="D43" s="53"/>
      <c r="E43" s="54" t="s">
        <v>570</v>
      </c>
    </row>
    <row r="44" spans="1:5" ht="15" customHeight="1" x14ac:dyDescent="0.35">
      <c r="A44" s="6" t="s">
        <v>303</v>
      </c>
      <c r="B44" s="16" t="s">
        <v>435</v>
      </c>
      <c r="C44" s="52"/>
      <c r="D44" s="53"/>
      <c r="E44" s="54" t="s">
        <v>570</v>
      </c>
    </row>
    <row r="45" spans="1:5" ht="15" customHeight="1" x14ac:dyDescent="0.35">
      <c r="A45" s="2" t="s">
        <v>306</v>
      </c>
      <c r="B45" s="13" t="s">
        <v>510</v>
      </c>
      <c r="C45" s="52"/>
      <c r="D45" s="53"/>
      <c r="E45" s="54" t="s">
        <v>570</v>
      </c>
    </row>
    <row r="46" spans="1:5" ht="15" customHeight="1" x14ac:dyDescent="0.35">
      <c r="A46" s="6" t="s">
        <v>308</v>
      </c>
      <c r="B46" s="16" t="s">
        <v>391</v>
      </c>
      <c r="C46" s="52"/>
      <c r="D46" s="53"/>
      <c r="E46" s="54" t="s">
        <v>570</v>
      </c>
    </row>
    <row r="47" spans="1:5" ht="15" customHeight="1" x14ac:dyDescent="0.35">
      <c r="A47" s="2" t="s">
        <v>310</v>
      </c>
      <c r="B47" s="13" t="s">
        <v>412</v>
      </c>
      <c r="C47" s="52"/>
      <c r="D47" s="53"/>
      <c r="E47" s="54" t="s">
        <v>570</v>
      </c>
    </row>
    <row r="48" spans="1:5" ht="15" customHeight="1" x14ac:dyDescent="0.35">
      <c r="A48" s="6" t="s">
        <v>312</v>
      </c>
      <c r="B48" s="16" t="s">
        <v>479</v>
      </c>
      <c r="C48" s="52"/>
      <c r="D48" s="53"/>
      <c r="E48" s="54" t="s">
        <v>570</v>
      </c>
    </row>
    <row r="49" spans="1:5" ht="15" customHeight="1" x14ac:dyDescent="0.35">
      <c r="A49" s="2" t="s">
        <v>314</v>
      </c>
      <c r="B49" s="13" t="s">
        <v>549</v>
      </c>
      <c r="C49" s="52"/>
      <c r="D49" s="53"/>
      <c r="E49" s="54" t="s">
        <v>570</v>
      </c>
    </row>
    <row r="50" spans="1:5" ht="15" customHeight="1" x14ac:dyDescent="0.35">
      <c r="A50" s="6" t="s">
        <v>316</v>
      </c>
      <c r="B50" s="16" t="s">
        <v>489</v>
      </c>
      <c r="C50" s="52"/>
      <c r="D50" s="53"/>
      <c r="E50" s="54" t="s">
        <v>570</v>
      </c>
    </row>
    <row r="51" spans="1:5" ht="15" customHeight="1" x14ac:dyDescent="0.35">
      <c r="A51" s="2" t="s">
        <v>318</v>
      </c>
      <c r="B51" s="13" t="s">
        <v>501</v>
      </c>
      <c r="C51" s="52"/>
      <c r="D51" s="53"/>
      <c r="E51" s="54" t="s">
        <v>570</v>
      </c>
    </row>
    <row r="52" spans="1:5" ht="15" customHeight="1" x14ac:dyDescent="0.35">
      <c r="A52" s="6" t="s">
        <v>320</v>
      </c>
      <c r="B52" s="16" t="s">
        <v>518</v>
      </c>
      <c r="C52" s="52"/>
      <c r="D52" s="53"/>
      <c r="E52" s="54" t="s">
        <v>570</v>
      </c>
    </row>
    <row r="53" spans="1:5" ht="15" customHeight="1" x14ac:dyDescent="0.35">
      <c r="A53" s="2" t="s">
        <v>342</v>
      </c>
      <c r="B53" s="13" t="s">
        <v>450</v>
      </c>
      <c r="C53" s="52"/>
      <c r="D53" s="53"/>
      <c r="E53" s="54" t="s">
        <v>570</v>
      </c>
    </row>
    <row r="54" spans="1:5" x14ac:dyDescent="0.35">
      <c r="A54" s="34"/>
      <c r="B54" s="35" t="s">
        <v>184</v>
      </c>
      <c r="C54" s="29">
        <f>SUM(C5:C53)</f>
        <v>0</v>
      </c>
      <c r="D54" s="29">
        <f>SUM(D5:D53)</f>
        <v>0</v>
      </c>
      <c r="E54" s="20"/>
    </row>
    <row r="55" spans="1:5" x14ac:dyDescent="0.35">
      <c r="B55" s="55" t="s">
        <v>376</v>
      </c>
      <c r="C55" s="47">
        <f>C54-D54</f>
        <v>0</v>
      </c>
      <c r="D55" s="39" t="s">
        <v>377</v>
      </c>
    </row>
    <row r="57" spans="1:5" ht="30" customHeight="1" x14ac:dyDescent="0.35">
      <c r="A57" s="109" t="s">
        <v>573</v>
      </c>
      <c r="B57" s="99"/>
      <c r="C57" s="99"/>
      <c r="D57" s="99"/>
      <c r="E57" s="99"/>
    </row>
  </sheetData>
  <mergeCells count="3">
    <mergeCell ref="A2:E2"/>
    <mergeCell ref="A57:E5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83"/>
  <sheetViews>
    <sheetView showGridLines="0" topLeftCell="A44" workbookViewId="0"/>
  </sheetViews>
  <sheetFormatPr defaultRowHeight="14.5" x14ac:dyDescent="0.35"/>
  <cols>
    <col min="1" max="1" width="12" customWidth="1"/>
    <col min="2" max="2" width="30" customWidth="1"/>
    <col min="3" max="5" width="14" customWidth="1"/>
    <col min="6" max="6" width="10" customWidth="1"/>
  </cols>
  <sheetData>
    <row r="2" spans="1:6" ht="16.5" x14ac:dyDescent="0.35">
      <c r="A2" s="105" t="s">
        <v>574</v>
      </c>
      <c r="B2" s="99"/>
      <c r="C2" s="99"/>
      <c r="D2" s="99"/>
      <c r="E2" s="99"/>
      <c r="F2" s="99"/>
    </row>
    <row r="3" spans="1:6" x14ac:dyDescent="0.35">
      <c r="A3" s="112" t="s">
        <v>575</v>
      </c>
      <c r="B3" s="106"/>
      <c r="C3" s="106"/>
      <c r="D3" s="106"/>
      <c r="E3" s="106"/>
      <c r="F3" s="106"/>
    </row>
    <row r="5" spans="1:6" ht="20" customHeight="1" x14ac:dyDescent="0.35">
      <c r="A5" s="111" t="s">
        <v>576</v>
      </c>
      <c r="B5" s="99"/>
      <c r="C5" s="56" t="s">
        <v>577</v>
      </c>
      <c r="D5" s="56" t="s">
        <v>578</v>
      </c>
      <c r="E5" s="57" t="s">
        <v>579</v>
      </c>
      <c r="F5" s="58"/>
    </row>
    <row r="6" spans="1:6" ht="18" customHeight="1" x14ac:dyDescent="0.35">
      <c r="A6" s="59" t="s">
        <v>379</v>
      </c>
      <c r="B6" s="59" t="s">
        <v>6</v>
      </c>
      <c r="C6" s="59" t="s">
        <v>380</v>
      </c>
      <c r="D6" s="59" t="s">
        <v>347</v>
      </c>
      <c r="E6" s="59" t="s">
        <v>348</v>
      </c>
      <c r="F6" s="59" t="s">
        <v>580</v>
      </c>
    </row>
    <row r="7" spans="1:6" ht="16" customHeight="1" x14ac:dyDescent="0.35">
      <c r="A7" s="60" t="s">
        <v>581</v>
      </c>
      <c r="B7" s="61" t="s">
        <v>582</v>
      </c>
      <c r="C7" s="44" t="s">
        <v>583</v>
      </c>
      <c r="D7" s="62">
        <v>25000000</v>
      </c>
      <c r="E7" s="60"/>
      <c r="F7" s="63">
        <v>25000000</v>
      </c>
    </row>
    <row r="8" spans="1:6" ht="16" customHeight="1" x14ac:dyDescent="0.35">
      <c r="A8" s="64"/>
      <c r="B8" s="64"/>
      <c r="C8" s="64"/>
      <c r="D8" s="65"/>
      <c r="E8" s="65"/>
      <c r="F8" s="66">
        <f t="shared" ref="F8:F15" si="0">F7+D8-E8</f>
        <v>25000000</v>
      </c>
    </row>
    <row r="9" spans="1:6" ht="16" customHeight="1" x14ac:dyDescent="0.35">
      <c r="A9" s="64"/>
      <c r="B9" s="64"/>
      <c r="C9" s="64"/>
      <c r="D9" s="65"/>
      <c r="E9" s="65"/>
      <c r="F9" s="66">
        <f t="shared" si="0"/>
        <v>25000000</v>
      </c>
    </row>
    <row r="10" spans="1:6" ht="16" customHeight="1" x14ac:dyDescent="0.35">
      <c r="A10" s="64"/>
      <c r="B10" s="64"/>
      <c r="C10" s="64"/>
      <c r="D10" s="65"/>
      <c r="E10" s="65"/>
      <c r="F10" s="66">
        <f t="shared" si="0"/>
        <v>25000000</v>
      </c>
    </row>
    <row r="11" spans="1:6" ht="16" customHeight="1" x14ac:dyDescent="0.35">
      <c r="A11" s="64"/>
      <c r="B11" s="64"/>
      <c r="C11" s="64"/>
      <c r="D11" s="65"/>
      <c r="E11" s="65"/>
      <c r="F11" s="66">
        <f t="shared" si="0"/>
        <v>25000000</v>
      </c>
    </row>
    <row r="12" spans="1:6" ht="16" customHeight="1" x14ac:dyDescent="0.35">
      <c r="A12" s="64"/>
      <c r="B12" s="64"/>
      <c r="C12" s="64"/>
      <c r="D12" s="65"/>
      <c r="E12" s="65"/>
      <c r="F12" s="66">
        <f t="shared" si="0"/>
        <v>25000000</v>
      </c>
    </row>
    <row r="13" spans="1:6" ht="16" customHeight="1" x14ac:dyDescent="0.35">
      <c r="A13" s="64"/>
      <c r="B13" s="64"/>
      <c r="C13" s="64"/>
      <c r="D13" s="65"/>
      <c r="E13" s="65"/>
      <c r="F13" s="66">
        <f t="shared" si="0"/>
        <v>25000000</v>
      </c>
    </row>
    <row r="14" spans="1:6" ht="16" customHeight="1" x14ac:dyDescent="0.35">
      <c r="A14" s="64"/>
      <c r="B14" s="64"/>
      <c r="C14" s="64"/>
      <c r="D14" s="65"/>
      <c r="E14" s="65"/>
      <c r="F14" s="66">
        <f t="shared" si="0"/>
        <v>25000000</v>
      </c>
    </row>
    <row r="15" spans="1:6" ht="16" customHeight="1" x14ac:dyDescent="0.35">
      <c r="A15" s="64"/>
      <c r="B15" s="64"/>
      <c r="C15" s="64"/>
      <c r="D15" s="65"/>
      <c r="E15" s="65"/>
      <c r="F15" s="66">
        <f t="shared" si="0"/>
        <v>25000000</v>
      </c>
    </row>
    <row r="16" spans="1:6" ht="18" customHeight="1" x14ac:dyDescent="0.35">
      <c r="A16" s="110" t="s">
        <v>584</v>
      </c>
      <c r="B16" s="99"/>
      <c r="C16" s="20"/>
      <c r="D16" s="20"/>
      <c r="E16" s="20"/>
      <c r="F16" s="67">
        <f>F15</f>
        <v>25000000</v>
      </c>
    </row>
    <row r="18" spans="1:6" ht="20" customHeight="1" x14ac:dyDescent="0.35">
      <c r="A18" s="111" t="s">
        <v>585</v>
      </c>
      <c r="B18" s="99"/>
      <c r="C18" s="56" t="s">
        <v>586</v>
      </c>
      <c r="D18" s="56" t="s">
        <v>578</v>
      </c>
      <c r="E18" s="57" t="s">
        <v>579</v>
      </c>
      <c r="F18" s="58"/>
    </row>
    <row r="19" spans="1:6" ht="18" customHeight="1" x14ac:dyDescent="0.35">
      <c r="A19" s="59" t="s">
        <v>379</v>
      </c>
      <c r="B19" s="59" t="s">
        <v>6</v>
      </c>
      <c r="C19" s="59" t="s">
        <v>380</v>
      </c>
      <c r="D19" s="59" t="s">
        <v>347</v>
      </c>
      <c r="E19" s="59" t="s">
        <v>348</v>
      </c>
      <c r="F19" s="59" t="s">
        <v>580</v>
      </c>
    </row>
    <row r="20" spans="1:6" ht="16" customHeight="1" x14ac:dyDescent="0.35">
      <c r="A20" s="60" t="s">
        <v>581</v>
      </c>
      <c r="B20" s="61" t="s">
        <v>582</v>
      </c>
      <c r="C20" s="44" t="s">
        <v>583</v>
      </c>
      <c r="D20" s="62">
        <v>285000000</v>
      </c>
      <c r="E20" s="60"/>
      <c r="F20" s="63">
        <v>285000000</v>
      </c>
    </row>
    <row r="21" spans="1:6" ht="16" customHeight="1" x14ac:dyDescent="0.35">
      <c r="A21" s="64"/>
      <c r="B21" s="64"/>
      <c r="C21" s="64"/>
      <c r="D21" s="65"/>
      <c r="E21" s="65"/>
      <c r="F21" s="66">
        <f t="shared" ref="F21:F28" si="1">F20+D21-E21</f>
        <v>285000000</v>
      </c>
    </row>
    <row r="22" spans="1:6" ht="16" customHeight="1" x14ac:dyDescent="0.35">
      <c r="A22" s="64"/>
      <c r="B22" s="64"/>
      <c r="C22" s="64"/>
      <c r="D22" s="65"/>
      <c r="E22" s="65"/>
      <c r="F22" s="66">
        <f t="shared" si="1"/>
        <v>285000000</v>
      </c>
    </row>
    <row r="23" spans="1:6" ht="16" customHeight="1" x14ac:dyDescent="0.35">
      <c r="A23" s="64"/>
      <c r="B23" s="64"/>
      <c r="C23" s="64"/>
      <c r="D23" s="65"/>
      <c r="E23" s="65"/>
      <c r="F23" s="66">
        <f t="shared" si="1"/>
        <v>285000000</v>
      </c>
    </row>
    <row r="24" spans="1:6" ht="16" customHeight="1" x14ac:dyDescent="0.35">
      <c r="A24" s="64"/>
      <c r="B24" s="64"/>
      <c r="C24" s="64"/>
      <c r="D24" s="65"/>
      <c r="E24" s="65"/>
      <c r="F24" s="66">
        <f t="shared" si="1"/>
        <v>285000000</v>
      </c>
    </row>
    <row r="25" spans="1:6" ht="16" customHeight="1" x14ac:dyDescent="0.35">
      <c r="A25" s="64"/>
      <c r="B25" s="64"/>
      <c r="C25" s="64"/>
      <c r="D25" s="65"/>
      <c r="E25" s="65"/>
      <c r="F25" s="66">
        <f t="shared" si="1"/>
        <v>285000000</v>
      </c>
    </row>
    <row r="26" spans="1:6" ht="16" customHeight="1" x14ac:dyDescent="0.35">
      <c r="A26" s="64"/>
      <c r="B26" s="64"/>
      <c r="C26" s="64"/>
      <c r="D26" s="65"/>
      <c r="E26" s="65"/>
      <c r="F26" s="66">
        <f t="shared" si="1"/>
        <v>285000000</v>
      </c>
    </row>
    <row r="27" spans="1:6" ht="16" customHeight="1" x14ac:dyDescent="0.35">
      <c r="A27" s="64"/>
      <c r="B27" s="64"/>
      <c r="C27" s="64"/>
      <c r="D27" s="65"/>
      <c r="E27" s="65"/>
      <c r="F27" s="66">
        <f t="shared" si="1"/>
        <v>285000000</v>
      </c>
    </row>
    <row r="28" spans="1:6" ht="16" customHeight="1" x14ac:dyDescent="0.35">
      <c r="A28" s="64"/>
      <c r="B28" s="64"/>
      <c r="C28" s="64"/>
      <c r="D28" s="65"/>
      <c r="E28" s="65"/>
      <c r="F28" s="66">
        <f t="shared" si="1"/>
        <v>285000000</v>
      </c>
    </row>
    <row r="29" spans="1:6" ht="18" customHeight="1" x14ac:dyDescent="0.35">
      <c r="A29" s="110" t="s">
        <v>584</v>
      </c>
      <c r="B29" s="99"/>
      <c r="C29" s="20"/>
      <c r="D29" s="20"/>
      <c r="E29" s="20"/>
      <c r="F29" s="67">
        <f>F28</f>
        <v>285000000</v>
      </c>
    </row>
    <row r="31" spans="1:6" ht="20" customHeight="1" x14ac:dyDescent="0.35">
      <c r="A31" s="111" t="s">
        <v>587</v>
      </c>
      <c r="B31" s="99"/>
      <c r="C31" s="56" t="s">
        <v>588</v>
      </c>
      <c r="D31" s="56" t="s">
        <v>578</v>
      </c>
      <c r="E31" s="57" t="s">
        <v>579</v>
      </c>
      <c r="F31" s="58"/>
    </row>
    <row r="32" spans="1:6" ht="18" customHeight="1" x14ac:dyDescent="0.35">
      <c r="A32" s="59" t="s">
        <v>379</v>
      </c>
      <c r="B32" s="59" t="s">
        <v>6</v>
      </c>
      <c r="C32" s="59" t="s">
        <v>380</v>
      </c>
      <c r="D32" s="59" t="s">
        <v>347</v>
      </c>
      <c r="E32" s="59" t="s">
        <v>348</v>
      </c>
      <c r="F32" s="59" t="s">
        <v>580</v>
      </c>
    </row>
    <row r="33" spans="1:6" ht="16" customHeight="1" x14ac:dyDescent="0.35">
      <c r="A33" s="60" t="s">
        <v>581</v>
      </c>
      <c r="B33" s="61" t="s">
        <v>582</v>
      </c>
      <c r="C33" s="44" t="s">
        <v>583</v>
      </c>
      <c r="D33" s="62">
        <v>95000000</v>
      </c>
      <c r="E33" s="60"/>
      <c r="F33" s="63">
        <v>95000000</v>
      </c>
    </row>
    <row r="34" spans="1:6" ht="16" customHeight="1" x14ac:dyDescent="0.35">
      <c r="A34" s="64"/>
      <c r="B34" s="64"/>
      <c r="C34" s="64"/>
      <c r="D34" s="65"/>
      <c r="E34" s="65"/>
      <c r="F34" s="66">
        <f t="shared" ref="F34:F41" si="2">F33+D34-E34</f>
        <v>95000000</v>
      </c>
    </row>
    <row r="35" spans="1:6" ht="16" customHeight="1" x14ac:dyDescent="0.35">
      <c r="A35" s="64"/>
      <c r="B35" s="64"/>
      <c r="C35" s="64"/>
      <c r="D35" s="65"/>
      <c r="E35" s="65"/>
      <c r="F35" s="66">
        <f t="shared" si="2"/>
        <v>95000000</v>
      </c>
    </row>
    <row r="36" spans="1:6" ht="16" customHeight="1" x14ac:dyDescent="0.35">
      <c r="A36" s="64"/>
      <c r="B36" s="64"/>
      <c r="C36" s="64"/>
      <c r="D36" s="65"/>
      <c r="E36" s="65"/>
      <c r="F36" s="66">
        <f t="shared" si="2"/>
        <v>95000000</v>
      </c>
    </row>
    <row r="37" spans="1:6" ht="16" customHeight="1" x14ac:dyDescent="0.35">
      <c r="A37" s="64"/>
      <c r="B37" s="64"/>
      <c r="C37" s="64"/>
      <c r="D37" s="65"/>
      <c r="E37" s="65"/>
      <c r="F37" s="66">
        <f t="shared" si="2"/>
        <v>95000000</v>
      </c>
    </row>
    <row r="38" spans="1:6" ht="16" customHeight="1" x14ac:dyDescent="0.35">
      <c r="A38" s="64"/>
      <c r="B38" s="64"/>
      <c r="C38" s="64"/>
      <c r="D38" s="65"/>
      <c r="E38" s="65"/>
      <c r="F38" s="66">
        <f t="shared" si="2"/>
        <v>95000000</v>
      </c>
    </row>
    <row r="39" spans="1:6" ht="16" customHeight="1" x14ac:dyDescent="0.35">
      <c r="A39" s="64"/>
      <c r="B39" s="64"/>
      <c r="C39" s="64"/>
      <c r="D39" s="65"/>
      <c r="E39" s="65"/>
      <c r="F39" s="66">
        <f t="shared" si="2"/>
        <v>95000000</v>
      </c>
    </row>
    <row r="40" spans="1:6" ht="16" customHeight="1" x14ac:dyDescent="0.35">
      <c r="A40" s="64"/>
      <c r="B40" s="64"/>
      <c r="C40" s="64"/>
      <c r="D40" s="65"/>
      <c r="E40" s="65"/>
      <c r="F40" s="66">
        <f t="shared" si="2"/>
        <v>95000000</v>
      </c>
    </row>
    <row r="41" spans="1:6" ht="16" customHeight="1" x14ac:dyDescent="0.35">
      <c r="A41" s="64"/>
      <c r="B41" s="64"/>
      <c r="C41" s="64"/>
      <c r="D41" s="65"/>
      <c r="E41" s="65"/>
      <c r="F41" s="66">
        <f t="shared" si="2"/>
        <v>95000000</v>
      </c>
    </row>
    <row r="42" spans="1:6" ht="18" customHeight="1" x14ac:dyDescent="0.35">
      <c r="A42" s="110" t="s">
        <v>584</v>
      </c>
      <c r="B42" s="99"/>
      <c r="C42" s="20"/>
      <c r="D42" s="20"/>
      <c r="E42" s="20"/>
      <c r="F42" s="67">
        <f>F41</f>
        <v>95000000</v>
      </c>
    </row>
    <row r="44" spans="1:6" ht="20" customHeight="1" x14ac:dyDescent="0.35">
      <c r="A44" s="111" t="s">
        <v>589</v>
      </c>
      <c r="B44" s="99"/>
      <c r="C44" s="56" t="s">
        <v>590</v>
      </c>
      <c r="D44" s="56" t="s">
        <v>591</v>
      </c>
      <c r="E44" s="57" t="s">
        <v>579</v>
      </c>
      <c r="F44" s="58"/>
    </row>
    <row r="45" spans="1:6" ht="18" customHeight="1" x14ac:dyDescent="0.35">
      <c r="A45" s="59" t="s">
        <v>379</v>
      </c>
      <c r="B45" s="59" t="s">
        <v>6</v>
      </c>
      <c r="C45" s="59" t="s">
        <v>380</v>
      </c>
      <c r="D45" s="59" t="s">
        <v>347</v>
      </c>
      <c r="E45" s="59" t="s">
        <v>348</v>
      </c>
      <c r="F45" s="59" t="s">
        <v>580</v>
      </c>
    </row>
    <row r="46" spans="1:6" ht="16" customHeight="1" x14ac:dyDescent="0.35">
      <c r="A46" s="60" t="s">
        <v>581</v>
      </c>
      <c r="B46" s="61" t="s">
        <v>582</v>
      </c>
      <c r="C46" s="44" t="s">
        <v>583</v>
      </c>
      <c r="D46" s="60"/>
      <c r="E46" s="68">
        <v>12000000</v>
      </c>
      <c r="F46" s="63">
        <v>12000000</v>
      </c>
    </row>
    <row r="47" spans="1:6" ht="16" customHeight="1" x14ac:dyDescent="0.35">
      <c r="A47" s="64"/>
      <c r="B47" s="64"/>
      <c r="C47" s="64"/>
      <c r="D47" s="65"/>
      <c r="E47" s="65"/>
      <c r="F47" s="66">
        <f t="shared" ref="F47:F54" si="3">F46-D47+E47</f>
        <v>12000000</v>
      </c>
    </row>
    <row r="48" spans="1:6" ht="16" customHeight="1" x14ac:dyDescent="0.35">
      <c r="A48" s="64"/>
      <c r="B48" s="64"/>
      <c r="C48" s="64"/>
      <c r="D48" s="65"/>
      <c r="E48" s="65"/>
      <c r="F48" s="66">
        <f t="shared" si="3"/>
        <v>12000000</v>
      </c>
    </row>
    <row r="49" spans="1:6" ht="16" customHeight="1" x14ac:dyDescent="0.35">
      <c r="A49" s="64"/>
      <c r="B49" s="64"/>
      <c r="C49" s="64"/>
      <c r="D49" s="65"/>
      <c r="E49" s="65"/>
      <c r="F49" s="66">
        <f t="shared" si="3"/>
        <v>12000000</v>
      </c>
    </row>
    <row r="50" spans="1:6" ht="16" customHeight="1" x14ac:dyDescent="0.35">
      <c r="A50" s="64"/>
      <c r="B50" s="64"/>
      <c r="C50" s="64"/>
      <c r="D50" s="65"/>
      <c r="E50" s="65"/>
      <c r="F50" s="66">
        <f t="shared" si="3"/>
        <v>12000000</v>
      </c>
    </row>
    <row r="51" spans="1:6" ht="16" customHeight="1" x14ac:dyDescent="0.35">
      <c r="A51" s="64"/>
      <c r="B51" s="64"/>
      <c r="C51" s="64"/>
      <c r="D51" s="65"/>
      <c r="E51" s="65"/>
      <c r="F51" s="66">
        <f t="shared" si="3"/>
        <v>12000000</v>
      </c>
    </row>
    <row r="52" spans="1:6" ht="16" customHeight="1" x14ac:dyDescent="0.35">
      <c r="A52" s="64"/>
      <c r="B52" s="64"/>
      <c r="C52" s="64"/>
      <c r="D52" s="65"/>
      <c r="E52" s="65"/>
      <c r="F52" s="66">
        <f t="shared" si="3"/>
        <v>12000000</v>
      </c>
    </row>
    <row r="53" spans="1:6" ht="16" customHeight="1" x14ac:dyDescent="0.35">
      <c r="A53" s="64"/>
      <c r="B53" s="64"/>
      <c r="C53" s="64"/>
      <c r="D53" s="65"/>
      <c r="E53" s="65"/>
      <c r="F53" s="66">
        <f t="shared" si="3"/>
        <v>12000000</v>
      </c>
    </row>
    <row r="54" spans="1:6" ht="16" customHeight="1" x14ac:dyDescent="0.35">
      <c r="A54" s="64"/>
      <c r="B54" s="64"/>
      <c r="C54" s="64"/>
      <c r="D54" s="65"/>
      <c r="E54" s="65"/>
      <c r="F54" s="66">
        <f t="shared" si="3"/>
        <v>12000000</v>
      </c>
    </row>
    <row r="55" spans="1:6" ht="18" customHeight="1" x14ac:dyDescent="0.35">
      <c r="A55" s="110" t="s">
        <v>584</v>
      </c>
      <c r="B55" s="99"/>
      <c r="C55" s="20"/>
      <c r="D55" s="20"/>
      <c r="E55" s="20"/>
      <c r="F55" s="67">
        <f>F54</f>
        <v>12000000</v>
      </c>
    </row>
    <row r="57" spans="1:6" ht="20" customHeight="1" x14ac:dyDescent="0.35">
      <c r="A57" s="111" t="s">
        <v>592</v>
      </c>
      <c r="B57" s="99"/>
      <c r="C57" s="56" t="s">
        <v>593</v>
      </c>
      <c r="D57" s="56" t="s">
        <v>591</v>
      </c>
      <c r="E57" s="57" t="s">
        <v>579</v>
      </c>
      <c r="F57" s="58"/>
    </row>
    <row r="58" spans="1:6" ht="18" customHeight="1" x14ac:dyDescent="0.35">
      <c r="A58" s="59" t="s">
        <v>379</v>
      </c>
      <c r="B58" s="59" t="s">
        <v>6</v>
      </c>
      <c r="C58" s="59" t="s">
        <v>380</v>
      </c>
      <c r="D58" s="59" t="s">
        <v>347</v>
      </c>
      <c r="E58" s="59" t="s">
        <v>348</v>
      </c>
      <c r="F58" s="59" t="s">
        <v>580</v>
      </c>
    </row>
    <row r="59" spans="1:6" ht="16" customHeight="1" x14ac:dyDescent="0.35">
      <c r="A59" s="60" t="s">
        <v>581</v>
      </c>
      <c r="B59" s="61" t="s">
        <v>582</v>
      </c>
      <c r="C59" s="44" t="s">
        <v>583</v>
      </c>
      <c r="D59" s="60"/>
      <c r="E59" s="68">
        <v>0</v>
      </c>
      <c r="F59" s="63">
        <v>0</v>
      </c>
    </row>
    <row r="60" spans="1:6" ht="16" customHeight="1" x14ac:dyDescent="0.35">
      <c r="A60" s="64"/>
      <c r="B60" s="64"/>
      <c r="C60" s="64"/>
      <c r="D60" s="65"/>
      <c r="E60" s="65"/>
      <c r="F60" s="66">
        <f t="shared" ref="F60:F67" si="4">F59-D60+E60</f>
        <v>0</v>
      </c>
    </row>
    <row r="61" spans="1:6" ht="16" customHeight="1" x14ac:dyDescent="0.35">
      <c r="A61" s="64"/>
      <c r="B61" s="64"/>
      <c r="C61" s="64"/>
      <c r="D61" s="65"/>
      <c r="E61" s="65"/>
      <c r="F61" s="66">
        <f t="shared" si="4"/>
        <v>0</v>
      </c>
    </row>
    <row r="62" spans="1:6" ht="16" customHeight="1" x14ac:dyDescent="0.35">
      <c r="A62" s="64"/>
      <c r="B62" s="64"/>
      <c r="C62" s="64"/>
      <c r="D62" s="65"/>
      <c r="E62" s="65"/>
      <c r="F62" s="66">
        <f t="shared" si="4"/>
        <v>0</v>
      </c>
    </row>
    <row r="63" spans="1:6" ht="16" customHeight="1" x14ac:dyDescent="0.35">
      <c r="A63" s="64"/>
      <c r="B63" s="64"/>
      <c r="C63" s="64"/>
      <c r="D63" s="65"/>
      <c r="E63" s="65"/>
      <c r="F63" s="66">
        <f t="shared" si="4"/>
        <v>0</v>
      </c>
    </row>
    <row r="64" spans="1:6" ht="16" customHeight="1" x14ac:dyDescent="0.35">
      <c r="A64" s="64"/>
      <c r="B64" s="64"/>
      <c r="C64" s="64"/>
      <c r="D64" s="65"/>
      <c r="E64" s="65"/>
      <c r="F64" s="66">
        <f t="shared" si="4"/>
        <v>0</v>
      </c>
    </row>
    <row r="65" spans="1:6" ht="16" customHeight="1" x14ac:dyDescent="0.35">
      <c r="A65" s="64"/>
      <c r="B65" s="64"/>
      <c r="C65" s="64"/>
      <c r="D65" s="65"/>
      <c r="E65" s="65"/>
      <c r="F65" s="66">
        <f t="shared" si="4"/>
        <v>0</v>
      </c>
    </row>
    <row r="66" spans="1:6" ht="16" customHeight="1" x14ac:dyDescent="0.35">
      <c r="A66" s="64"/>
      <c r="B66" s="64"/>
      <c r="C66" s="64"/>
      <c r="D66" s="65"/>
      <c r="E66" s="65"/>
      <c r="F66" s="66">
        <f t="shared" si="4"/>
        <v>0</v>
      </c>
    </row>
    <row r="67" spans="1:6" ht="16" customHeight="1" x14ac:dyDescent="0.35">
      <c r="A67" s="64"/>
      <c r="B67" s="64"/>
      <c r="C67" s="64"/>
      <c r="D67" s="65"/>
      <c r="E67" s="65"/>
      <c r="F67" s="66">
        <f t="shared" si="4"/>
        <v>0</v>
      </c>
    </row>
    <row r="68" spans="1:6" ht="18" customHeight="1" x14ac:dyDescent="0.35">
      <c r="A68" s="110" t="s">
        <v>584</v>
      </c>
      <c r="B68" s="99"/>
      <c r="C68" s="20"/>
      <c r="D68" s="20"/>
      <c r="E68" s="20"/>
      <c r="F68" s="67">
        <f>F67</f>
        <v>0</v>
      </c>
    </row>
    <row r="70" spans="1:6" ht="20" customHeight="1" x14ac:dyDescent="0.35">
      <c r="A70" s="111" t="s">
        <v>594</v>
      </c>
      <c r="B70" s="99"/>
      <c r="C70" s="56" t="s">
        <v>595</v>
      </c>
      <c r="D70" s="56" t="s">
        <v>578</v>
      </c>
      <c r="E70" s="57" t="s">
        <v>579</v>
      </c>
      <c r="F70" s="58"/>
    </row>
    <row r="71" spans="1:6" ht="18" customHeight="1" x14ac:dyDescent="0.35">
      <c r="A71" s="59" t="s">
        <v>379</v>
      </c>
      <c r="B71" s="59" t="s">
        <v>6</v>
      </c>
      <c r="C71" s="59" t="s">
        <v>380</v>
      </c>
      <c r="D71" s="59" t="s">
        <v>347</v>
      </c>
      <c r="E71" s="59" t="s">
        <v>348</v>
      </c>
      <c r="F71" s="59" t="s">
        <v>580</v>
      </c>
    </row>
    <row r="72" spans="1:6" ht="16" customHeight="1" x14ac:dyDescent="0.35">
      <c r="A72" s="60" t="s">
        <v>581</v>
      </c>
      <c r="B72" s="61" t="s">
        <v>582</v>
      </c>
      <c r="C72" s="44" t="s">
        <v>583</v>
      </c>
      <c r="D72" s="62">
        <v>0</v>
      </c>
      <c r="E72" s="60"/>
      <c r="F72" s="63">
        <v>0</v>
      </c>
    </row>
    <row r="73" spans="1:6" ht="16" customHeight="1" x14ac:dyDescent="0.35">
      <c r="A73" s="64"/>
      <c r="B73" s="64"/>
      <c r="C73" s="64"/>
      <c r="D73" s="65"/>
      <c r="E73" s="65"/>
      <c r="F73" s="66">
        <f t="shared" ref="F73:F80" si="5">F72+D73-E73</f>
        <v>0</v>
      </c>
    </row>
    <row r="74" spans="1:6" ht="16" customHeight="1" x14ac:dyDescent="0.35">
      <c r="A74" s="64"/>
      <c r="B74" s="64"/>
      <c r="C74" s="64"/>
      <c r="D74" s="65"/>
      <c r="E74" s="65"/>
      <c r="F74" s="66">
        <f t="shared" si="5"/>
        <v>0</v>
      </c>
    </row>
    <row r="75" spans="1:6" ht="16" customHeight="1" x14ac:dyDescent="0.35">
      <c r="A75" s="64"/>
      <c r="B75" s="64"/>
      <c r="C75" s="64"/>
      <c r="D75" s="65"/>
      <c r="E75" s="65"/>
      <c r="F75" s="66">
        <f t="shared" si="5"/>
        <v>0</v>
      </c>
    </row>
    <row r="76" spans="1:6" ht="16" customHeight="1" x14ac:dyDescent="0.35">
      <c r="A76" s="64"/>
      <c r="B76" s="64"/>
      <c r="C76" s="64"/>
      <c r="D76" s="65"/>
      <c r="E76" s="65"/>
      <c r="F76" s="66">
        <f t="shared" si="5"/>
        <v>0</v>
      </c>
    </row>
    <row r="77" spans="1:6" ht="16" customHeight="1" x14ac:dyDescent="0.35">
      <c r="A77" s="64"/>
      <c r="B77" s="64"/>
      <c r="C77" s="64"/>
      <c r="D77" s="65"/>
      <c r="E77" s="65"/>
      <c r="F77" s="66">
        <f t="shared" si="5"/>
        <v>0</v>
      </c>
    </row>
    <row r="78" spans="1:6" ht="16" customHeight="1" x14ac:dyDescent="0.35">
      <c r="A78" s="64"/>
      <c r="B78" s="64"/>
      <c r="C78" s="64"/>
      <c r="D78" s="65"/>
      <c r="E78" s="65"/>
      <c r="F78" s="66">
        <f t="shared" si="5"/>
        <v>0</v>
      </c>
    </row>
    <row r="79" spans="1:6" ht="16" customHeight="1" x14ac:dyDescent="0.35">
      <c r="A79" s="64"/>
      <c r="B79" s="64"/>
      <c r="C79" s="64"/>
      <c r="D79" s="65"/>
      <c r="E79" s="65"/>
      <c r="F79" s="66">
        <f t="shared" si="5"/>
        <v>0</v>
      </c>
    </row>
    <row r="80" spans="1:6" ht="16" customHeight="1" x14ac:dyDescent="0.35">
      <c r="A80" s="64"/>
      <c r="B80" s="64"/>
      <c r="C80" s="64"/>
      <c r="D80" s="65"/>
      <c r="E80" s="65"/>
      <c r="F80" s="66">
        <f t="shared" si="5"/>
        <v>0</v>
      </c>
    </row>
    <row r="81" spans="1:6" ht="18" customHeight="1" x14ac:dyDescent="0.35">
      <c r="A81" s="110" t="s">
        <v>584</v>
      </c>
      <c r="B81" s="99"/>
      <c r="C81" s="20"/>
      <c r="D81" s="20"/>
      <c r="E81" s="20"/>
      <c r="F81" s="67">
        <f>F80</f>
        <v>0</v>
      </c>
    </row>
    <row r="83" spans="1:6" ht="30" customHeight="1" x14ac:dyDescent="0.35">
      <c r="A83" s="109" t="s">
        <v>596</v>
      </c>
      <c r="B83" s="99"/>
      <c r="C83" s="99"/>
      <c r="D83" s="99"/>
      <c r="E83" s="99"/>
      <c r="F83" s="99"/>
    </row>
  </sheetData>
  <mergeCells count="15">
    <mergeCell ref="A81:B81"/>
    <mergeCell ref="A5:B5"/>
    <mergeCell ref="A42:B42"/>
    <mergeCell ref="A44:B44"/>
    <mergeCell ref="A83:F83"/>
    <mergeCell ref="A18:B18"/>
    <mergeCell ref="A31:B31"/>
    <mergeCell ref="A55:B55"/>
    <mergeCell ref="A2:F2"/>
    <mergeCell ref="A16:B16"/>
    <mergeCell ref="A29:B29"/>
    <mergeCell ref="A57:B57"/>
    <mergeCell ref="A70:B70"/>
    <mergeCell ref="A68:B68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61"/>
  <sheetViews>
    <sheetView showGridLines="0" topLeftCell="B2" workbookViewId="0">
      <selection activeCell="E21" sqref="E21"/>
    </sheetView>
  </sheetViews>
  <sheetFormatPr defaultRowHeight="14.5" x14ac:dyDescent="0.35"/>
  <cols>
    <col min="1" max="1" width="10" customWidth="1"/>
    <col min="2" max="2" width="34" customWidth="1"/>
    <col min="3" max="10" width="14" customWidth="1"/>
    <col min="11" max="11" width="14.08984375" customWidth="1"/>
    <col min="12" max="12" width="14.36328125" customWidth="1"/>
  </cols>
  <sheetData>
    <row r="2" spans="1:12" ht="16.5" x14ac:dyDescent="0.35">
      <c r="A2" s="105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 x14ac:dyDescent="0.35">
      <c r="A3" s="120" t="s">
        <v>597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</row>
    <row r="4" spans="1:12" ht="22" customHeight="1" x14ac:dyDescent="0.35">
      <c r="A4" s="114" t="s">
        <v>598</v>
      </c>
      <c r="B4" s="114" t="s">
        <v>187</v>
      </c>
      <c r="C4" s="113" t="s">
        <v>599</v>
      </c>
      <c r="D4" s="99"/>
      <c r="E4" s="113" t="s">
        <v>600</v>
      </c>
      <c r="F4" s="99"/>
      <c r="G4" s="113" t="s">
        <v>601</v>
      </c>
      <c r="H4" s="99"/>
      <c r="I4" s="113" t="s">
        <v>281</v>
      </c>
      <c r="J4" s="99"/>
      <c r="K4" s="113" t="s">
        <v>197</v>
      </c>
      <c r="L4" s="99"/>
    </row>
    <row r="5" spans="1:12" ht="16" customHeight="1" x14ac:dyDescent="0.35">
      <c r="A5" s="99"/>
      <c r="B5" s="99"/>
      <c r="C5" s="69" t="s">
        <v>196</v>
      </c>
      <c r="D5" s="69" t="s">
        <v>206</v>
      </c>
      <c r="E5" s="69" t="s">
        <v>196</v>
      </c>
      <c r="F5" s="69" t="s">
        <v>206</v>
      </c>
      <c r="G5" s="69" t="s">
        <v>196</v>
      </c>
      <c r="H5" s="69" t="s">
        <v>206</v>
      </c>
      <c r="I5" s="69" t="s">
        <v>196</v>
      </c>
      <c r="J5" s="69" t="s">
        <v>206</v>
      </c>
      <c r="K5" s="69" t="s">
        <v>196</v>
      </c>
      <c r="L5" s="69" t="s">
        <v>206</v>
      </c>
    </row>
    <row r="6" spans="1:12" ht="15" customHeight="1" x14ac:dyDescent="0.35">
      <c r="A6" s="70" t="s">
        <v>193</v>
      </c>
      <c r="B6" s="71" t="s">
        <v>349</v>
      </c>
      <c r="C6" s="72"/>
      <c r="D6" s="72"/>
      <c r="E6" s="72"/>
      <c r="F6" s="72"/>
      <c r="G6" s="72"/>
      <c r="H6" s="72"/>
      <c r="I6" s="72"/>
      <c r="J6" s="72"/>
      <c r="K6" s="72"/>
      <c r="L6" s="72"/>
    </row>
    <row r="7" spans="1:12" ht="15" customHeight="1" x14ac:dyDescent="0.35">
      <c r="A7" s="73" t="s">
        <v>198</v>
      </c>
      <c r="B7" s="74" t="s">
        <v>602</v>
      </c>
      <c r="C7" s="72"/>
      <c r="D7" s="72"/>
      <c r="E7" s="72"/>
      <c r="F7" s="72"/>
      <c r="G7" s="72"/>
      <c r="H7" s="72"/>
      <c r="I7" s="72"/>
      <c r="J7" s="72"/>
      <c r="K7" s="72"/>
      <c r="L7" s="72"/>
    </row>
    <row r="8" spans="1:12" ht="15" customHeight="1" x14ac:dyDescent="0.35">
      <c r="A8" s="70" t="s">
        <v>200</v>
      </c>
      <c r="B8" s="71" t="s">
        <v>603</v>
      </c>
      <c r="C8" s="72"/>
      <c r="D8" s="72"/>
      <c r="E8" s="72"/>
      <c r="F8" s="72"/>
      <c r="G8" s="72"/>
      <c r="H8" s="72"/>
      <c r="I8" s="72"/>
      <c r="J8" s="72"/>
      <c r="K8" s="72"/>
      <c r="L8" s="72"/>
    </row>
    <row r="9" spans="1:12" ht="15" customHeight="1" x14ac:dyDescent="0.35">
      <c r="A9" s="73" t="s">
        <v>202</v>
      </c>
      <c r="B9" s="74" t="s">
        <v>352</v>
      </c>
      <c r="C9" s="72"/>
      <c r="D9" s="72"/>
      <c r="E9" s="72"/>
      <c r="F9" s="72"/>
      <c r="G9" s="72"/>
      <c r="H9" s="72"/>
      <c r="I9" s="72"/>
      <c r="J9" s="72"/>
      <c r="K9" s="72"/>
      <c r="L9" s="72"/>
    </row>
    <row r="10" spans="1:12" ht="15" customHeight="1" x14ac:dyDescent="0.35">
      <c r="A10" s="70" t="s">
        <v>204</v>
      </c>
      <c r="B10" s="71" t="s">
        <v>353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</row>
    <row r="11" spans="1:12" ht="15" customHeight="1" x14ac:dyDescent="0.35">
      <c r="A11" s="73" t="s">
        <v>209</v>
      </c>
      <c r="B11" s="74" t="s">
        <v>354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</row>
    <row r="12" spans="1:12" ht="15" customHeight="1" x14ac:dyDescent="0.35">
      <c r="A12" s="70" t="s">
        <v>211</v>
      </c>
      <c r="B12" s="71" t="s">
        <v>355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</row>
    <row r="13" spans="1:12" ht="15" customHeight="1" x14ac:dyDescent="0.35">
      <c r="A13" s="73" t="s">
        <v>213</v>
      </c>
      <c r="B13" s="74" t="s">
        <v>356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</row>
    <row r="14" spans="1:12" ht="15" customHeight="1" x14ac:dyDescent="0.35">
      <c r="A14" s="70" t="s">
        <v>215</v>
      </c>
      <c r="B14" s="71" t="s">
        <v>399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</row>
    <row r="15" spans="1:12" ht="15" customHeight="1" x14ac:dyDescent="0.35">
      <c r="A15" s="73" t="s">
        <v>220</v>
      </c>
      <c r="B15" s="74" t="s">
        <v>357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</row>
    <row r="16" spans="1:12" ht="15" customHeight="1" x14ac:dyDescent="0.35">
      <c r="A16" s="70" t="s">
        <v>223</v>
      </c>
      <c r="B16" s="71" t="s">
        <v>604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</row>
    <row r="17" spans="1:12" ht="15" customHeight="1" x14ac:dyDescent="0.35">
      <c r="A17" s="73" t="s">
        <v>225</v>
      </c>
      <c r="B17" s="74" t="s">
        <v>359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</row>
    <row r="18" spans="1:12" ht="15" customHeight="1" x14ac:dyDescent="0.35">
      <c r="A18" s="70" t="s">
        <v>227</v>
      </c>
      <c r="B18" s="71" t="s">
        <v>605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</row>
    <row r="19" spans="1:12" ht="15" customHeight="1" x14ac:dyDescent="0.35">
      <c r="A19" s="73" t="s">
        <v>229</v>
      </c>
      <c r="B19" s="74" t="s">
        <v>361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</row>
    <row r="20" spans="1:12" ht="15" customHeight="1" x14ac:dyDescent="0.35">
      <c r="A20" s="70" t="s">
        <v>231</v>
      </c>
      <c r="B20" s="71" t="s">
        <v>606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</row>
    <row r="21" spans="1:12" ht="15" customHeight="1" x14ac:dyDescent="0.35">
      <c r="A21" s="73" t="s">
        <v>233</v>
      </c>
      <c r="B21" s="74" t="s">
        <v>363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</row>
    <row r="22" spans="1:12" ht="15" customHeight="1" x14ac:dyDescent="0.35">
      <c r="A22" s="70" t="s">
        <v>235</v>
      </c>
      <c r="B22" s="71" t="s">
        <v>364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</row>
    <row r="23" spans="1:12" ht="15" customHeight="1" x14ac:dyDescent="0.35">
      <c r="A23" s="73" t="s">
        <v>237</v>
      </c>
      <c r="B23" s="74" t="s">
        <v>607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</row>
    <row r="24" spans="1:12" ht="15" customHeight="1" x14ac:dyDescent="0.35">
      <c r="A24" s="70" t="s">
        <v>239</v>
      </c>
      <c r="B24" s="71" t="s">
        <v>366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</row>
    <row r="25" spans="1:12" ht="15" customHeight="1" x14ac:dyDescent="0.35">
      <c r="A25" s="73" t="s">
        <v>241</v>
      </c>
      <c r="B25" s="74" t="s">
        <v>367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</row>
    <row r="26" spans="1:12" ht="15" customHeight="1" x14ac:dyDescent="0.35">
      <c r="A26" s="70" t="s">
        <v>243</v>
      </c>
      <c r="B26" s="71" t="s">
        <v>608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</row>
    <row r="27" spans="1:12" ht="15" customHeight="1" x14ac:dyDescent="0.35">
      <c r="A27" s="73" t="s">
        <v>247</v>
      </c>
      <c r="B27" s="74" t="s">
        <v>369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</row>
    <row r="28" spans="1:12" ht="15" customHeight="1" x14ac:dyDescent="0.35">
      <c r="A28" s="70" t="s">
        <v>250</v>
      </c>
      <c r="B28" s="71" t="s">
        <v>370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</row>
    <row r="29" spans="1:12" ht="15" customHeight="1" x14ac:dyDescent="0.35">
      <c r="A29" s="73" t="s">
        <v>252</v>
      </c>
      <c r="B29" s="74" t="s">
        <v>371</v>
      </c>
      <c r="C29" s="72"/>
      <c r="D29" s="72"/>
      <c r="E29" s="72"/>
      <c r="F29" s="72"/>
      <c r="G29" s="72"/>
      <c r="H29" s="72"/>
      <c r="I29" s="72"/>
      <c r="J29" s="72"/>
      <c r="K29" s="72"/>
      <c r="L29" s="72"/>
    </row>
    <row r="30" spans="1:12" ht="15" customHeight="1" x14ac:dyDescent="0.35">
      <c r="A30" s="70" t="s">
        <v>256</v>
      </c>
      <c r="B30" s="71" t="s">
        <v>387</v>
      </c>
      <c r="C30" s="72"/>
      <c r="D30" s="72"/>
      <c r="E30" s="72"/>
      <c r="F30" s="72"/>
      <c r="G30" s="72"/>
      <c r="H30" s="72"/>
      <c r="I30" s="72"/>
      <c r="J30" s="72"/>
      <c r="K30" s="72"/>
      <c r="L30" s="72"/>
    </row>
    <row r="31" spans="1:12" ht="15" customHeight="1" x14ac:dyDescent="0.35">
      <c r="A31" s="73" t="s">
        <v>258</v>
      </c>
      <c r="B31" s="74" t="s">
        <v>372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</row>
    <row r="32" spans="1:12" ht="15" customHeight="1" x14ac:dyDescent="0.35">
      <c r="A32" s="70" t="s">
        <v>265</v>
      </c>
      <c r="B32" s="71" t="s">
        <v>373</v>
      </c>
      <c r="C32" s="72"/>
      <c r="D32" s="72"/>
      <c r="E32" s="72"/>
      <c r="F32" s="72"/>
      <c r="G32" s="72"/>
      <c r="H32" s="72"/>
      <c r="I32" s="72"/>
      <c r="J32" s="72"/>
      <c r="K32" s="72"/>
      <c r="L32" s="72"/>
    </row>
    <row r="33" spans="1:12" ht="15" customHeight="1" x14ac:dyDescent="0.35">
      <c r="A33" s="73" t="s">
        <v>268</v>
      </c>
      <c r="B33" s="74" t="s">
        <v>374</v>
      </c>
      <c r="C33" s="72"/>
      <c r="D33" s="72"/>
      <c r="E33" s="72"/>
      <c r="F33" s="72"/>
      <c r="G33" s="72"/>
      <c r="H33" s="72"/>
      <c r="I33" s="72"/>
      <c r="J33" s="72"/>
      <c r="K33" s="72"/>
      <c r="L33" s="72"/>
    </row>
    <row r="34" spans="1:12" ht="15" customHeight="1" x14ac:dyDescent="0.35">
      <c r="A34" s="70" t="s">
        <v>271</v>
      </c>
      <c r="B34" s="71" t="s">
        <v>375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</row>
    <row r="35" spans="1:12" ht="15" customHeight="1" x14ac:dyDescent="0.35">
      <c r="A35" s="73" t="s">
        <v>278</v>
      </c>
      <c r="B35" s="74" t="s">
        <v>609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</row>
    <row r="36" spans="1:12" ht="15" customHeight="1" x14ac:dyDescent="0.35">
      <c r="A36" s="70" t="s">
        <v>282</v>
      </c>
      <c r="B36" s="71" t="s">
        <v>610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</row>
    <row r="37" spans="1:12" ht="15" customHeight="1" x14ac:dyDescent="0.35">
      <c r="A37" s="73" t="s">
        <v>284</v>
      </c>
      <c r="B37" s="74" t="s">
        <v>611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</row>
    <row r="38" spans="1:12" ht="15" customHeight="1" x14ac:dyDescent="0.35">
      <c r="A38" s="70" t="s">
        <v>286</v>
      </c>
      <c r="B38" s="71" t="s">
        <v>612</v>
      </c>
      <c r="C38" s="72"/>
      <c r="D38" s="72"/>
      <c r="E38" s="72"/>
      <c r="F38" s="72"/>
      <c r="G38" s="72"/>
      <c r="H38" s="72"/>
      <c r="I38" s="72"/>
      <c r="J38" s="72"/>
      <c r="K38" s="72"/>
      <c r="L38" s="72"/>
    </row>
    <row r="39" spans="1:12" ht="15" customHeight="1" x14ac:dyDescent="0.35">
      <c r="A39" s="73" t="s">
        <v>288</v>
      </c>
      <c r="B39" s="74" t="s">
        <v>613</v>
      </c>
      <c r="C39" s="72"/>
      <c r="D39" s="72"/>
      <c r="E39" s="72"/>
      <c r="F39" s="72"/>
      <c r="G39" s="72"/>
      <c r="H39" s="72"/>
      <c r="I39" s="72"/>
      <c r="J39" s="72"/>
      <c r="K39" s="72"/>
      <c r="L39" s="72"/>
    </row>
    <row r="40" spans="1:12" ht="15" customHeight="1" x14ac:dyDescent="0.35">
      <c r="A40" s="70" t="s">
        <v>290</v>
      </c>
      <c r="B40" s="71" t="s">
        <v>614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</row>
    <row r="41" spans="1:12" ht="15" customHeight="1" x14ac:dyDescent="0.35">
      <c r="A41" s="73" t="s">
        <v>296</v>
      </c>
      <c r="B41" s="74" t="s">
        <v>615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</row>
    <row r="42" spans="1:12" ht="15" customHeight="1" x14ac:dyDescent="0.35">
      <c r="A42" s="70" t="s">
        <v>301</v>
      </c>
      <c r="B42" s="71" t="s">
        <v>422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</row>
    <row r="43" spans="1:12" ht="15" customHeight="1" x14ac:dyDescent="0.35">
      <c r="A43" s="73" t="s">
        <v>303</v>
      </c>
      <c r="B43" s="74" t="s">
        <v>616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</row>
    <row r="44" spans="1:12" ht="15" customHeight="1" x14ac:dyDescent="0.35">
      <c r="A44" s="70" t="s">
        <v>306</v>
      </c>
      <c r="B44" s="71" t="s">
        <v>617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</row>
    <row r="45" spans="1:12" ht="15" customHeight="1" x14ac:dyDescent="0.35">
      <c r="A45" s="73" t="s">
        <v>308</v>
      </c>
      <c r="B45" s="74" t="s">
        <v>391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</row>
    <row r="46" spans="1:12" ht="15" customHeight="1" x14ac:dyDescent="0.35">
      <c r="A46" s="70" t="s">
        <v>310</v>
      </c>
      <c r="B46" s="71" t="s">
        <v>618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</row>
    <row r="47" spans="1:12" ht="15" customHeight="1" x14ac:dyDescent="0.35">
      <c r="A47" s="73" t="s">
        <v>312</v>
      </c>
      <c r="B47" s="74" t="s">
        <v>619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</row>
    <row r="48" spans="1:12" ht="15" customHeight="1" x14ac:dyDescent="0.35">
      <c r="A48" s="70" t="s">
        <v>314</v>
      </c>
      <c r="B48" s="71" t="s">
        <v>620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</row>
    <row r="49" spans="1:12" ht="15" customHeight="1" x14ac:dyDescent="0.35">
      <c r="A49" s="73" t="s">
        <v>316</v>
      </c>
      <c r="B49" s="74" t="s">
        <v>621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</row>
    <row r="50" spans="1:12" ht="15" customHeight="1" x14ac:dyDescent="0.35">
      <c r="A50" s="70" t="s">
        <v>318</v>
      </c>
      <c r="B50" s="71" t="s">
        <v>622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</row>
    <row r="51" spans="1:12" ht="15" customHeight="1" x14ac:dyDescent="0.35">
      <c r="A51" s="73" t="s">
        <v>320</v>
      </c>
      <c r="B51" s="74" t="s">
        <v>623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</row>
    <row r="52" spans="1:12" ht="15" customHeight="1" x14ac:dyDescent="0.35">
      <c r="A52" s="70" t="s">
        <v>322</v>
      </c>
      <c r="B52" s="71" t="s">
        <v>553</v>
      </c>
      <c r="C52" s="72"/>
      <c r="D52" s="72"/>
      <c r="E52" s="72"/>
      <c r="F52" s="72"/>
      <c r="G52" s="72"/>
      <c r="H52" s="72"/>
      <c r="I52" s="72"/>
      <c r="J52" s="72"/>
      <c r="K52" s="72"/>
      <c r="L52" s="72"/>
    </row>
    <row r="53" spans="1:12" ht="15" customHeight="1" x14ac:dyDescent="0.35">
      <c r="A53" s="73" t="s">
        <v>325</v>
      </c>
      <c r="B53" s="74" t="s">
        <v>624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</row>
    <row r="54" spans="1:12" ht="15" customHeight="1" x14ac:dyDescent="0.35">
      <c r="A54" s="70" t="s">
        <v>327</v>
      </c>
      <c r="B54" s="71" t="s">
        <v>625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</row>
    <row r="55" spans="1:12" ht="15" customHeight="1" x14ac:dyDescent="0.35">
      <c r="A55" s="73" t="s">
        <v>329</v>
      </c>
      <c r="B55" s="74" t="s">
        <v>626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</row>
    <row r="56" spans="1:12" ht="15" customHeight="1" x14ac:dyDescent="0.35">
      <c r="A56" s="70" t="s">
        <v>331</v>
      </c>
      <c r="B56" s="71" t="s">
        <v>537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</row>
    <row r="57" spans="1:12" ht="15" customHeight="1" x14ac:dyDescent="0.35">
      <c r="A57" s="73" t="s">
        <v>333</v>
      </c>
      <c r="B57" s="74" t="s">
        <v>541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</row>
    <row r="58" spans="1:12" ht="15" customHeight="1" x14ac:dyDescent="0.35">
      <c r="A58" s="70" t="s">
        <v>335</v>
      </c>
      <c r="B58" s="71" t="s">
        <v>627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</row>
    <row r="59" spans="1:12" ht="15" customHeight="1" x14ac:dyDescent="0.35">
      <c r="A59" s="73" t="s">
        <v>338</v>
      </c>
      <c r="B59" s="74" t="s">
        <v>628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</row>
    <row r="60" spans="1:12" ht="15" customHeight="1" x14ac:dyDescent="0.35">
      <c r="A60" s="70" t="s">
        <v>342</v>
      </c>
      <c r="B60" s="71" t="s">
        <v>450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1:12" ht="18" customHeight="1" x14ac:dyDescent="0.35">
      <c r="A61" s="34"/>
      <c r="B61" s="75" t="s">
        <v>184</v>
      </c>
      <c r="C61" s="76">
        <f t="shared" ref="C61:J61" si="0">SUM(C6:C60)</f>
        <v>0</v>
      </c>
      <c r="D61" s="76">
        <f t="shared" si="0"/>
        <v>0</v>
      </c>
      <c r="E61" s="76">
        <f t="shared" si="0"/>
        <v>0</v>
      </c>
      <c r="F61" s="76">
        <f t="shared" si="0"/>
        <v>0</v>
      </c>
      <c r="G61" s="76">
        <f t="shared" si="0"/>
        <v>0</v>
      </c>
      <c r="H61" s="76">
        <f t="shared" si="0"/>
        <v>0</v>
      </c>
      <c r="I61" s="76">
        <f t="shared" si="0"/>
        <v>0</v>
      </c>
      <c r="J61" s="76">
        <f t="shared" si="0"/>
        <v>0</v>
      </c>
      <c r="K61" s="76">
        <f t="shared" ref="K61" si="1">SUM(K6:K60)</f>
        <v>0</v>
      </c>
      <c r="L61" s="76">
        <f t="shared" ref="L61" si="2">SUM(L6:L60)</f>
        <v>0</v>
      </c>
    </row>
  </sheetData>
  <mergeCells count="9">
    <mergeCell ref="K4:L4"/>
    <mergeCell ref="C4:D4"/>
    <mergeCell ref="A2:L2"/>
    <mergeCell ref="A3:L3"/>
    <mergeCell ref="G4:H4"/>
    <mergeCell ref="E4:F4"/>
    <mergeCell ref="I4:J4"/>
    <mergeCell ref="B4:B5"/>
    <mergeCell ref="A4:A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54"/>
  <sheetViews>
    <sheetView showGridLines="0" topLeftCell="A56" workbookViewId="0">
      <selection activeCell="F12" sqref="F12"/>
    </sheetView>
  </sheetViews>
  <sheetFormatPr defaultRowHeight="14.5" x14ac:dyDescent="0.35"/>
  <cols>
    <col min="1" max="1" width="42" customWidth="1"/>
    <col min="2" max="3" width="20" customWidth="1"/>
  </cols>
  <sheetData>
    <row r="2" spans="1:3" ht="18" x14ac:dyDescent="0.35">
      <c r="A2" s="107" t="s">
        <v>0</v>
      </c>
      <c r="B2" s="99"/>
      <c r="C2" s="99"/>
    </row>
    <row r="3" spans="1:3" x14ac:dyDescent="0.35">
      <c r="A3" s="100" t="s">
        <v>629</v>
      </c>
      <c r="B3" s="106"/>
      <c r="C3" s="106"/>
    </row>
    <row r="4" spans="1:3" x14ac:dyDescent="0.35">
      <c r="A4" s="116" t="s">
        <v>630</v>
      </c>
      <c r="B4" s="99"/>
      <c r="C4" s="99"/>
    </row>
    <row r="6" spans="1:3" ht="18" customHeight="1" x14ac:dyDescent="0.35">
      <c r="A6" s="104" t="s">
        <v>631</v>
      </c>
      <c r="B6" s="99"/>
      <c r="C6" s="99"/>
    </row>
    <row r="7" spans="1:3" ht="18" customHeight="1" x14ac:dyDescent="0.35">
      <c r="A7" s="16" t="s">
        <v>404</v>
      </c>
      <c r="B7" s="52"/>
      <c r="C7" s="77"/>
    </row>
    <row r="8" spans="1:3" ht="18" customHeight="1" x14ac:dyDescent="0.35">
      <c r="A8" s="16" t="s">
        <v>417</v>
      </c>
      <c r="B8" s="52"/>
      <c r="C8" s="77"/>
    </row>
    <row r="9" spans="1:3" ht="18" customHeight="1" x14ac:dyDescent="0.35">
      <c r="A9" s="16" t="s">
        <v>430</v>
      </c>
      <c r="B9" s="52"/>
      <c r="C9" s="77"/>
    </row>
    <row r="10" spans="1:3" ht="18" customHeight="1" x14ac:dyDescent="0.35">
      <c r="A10" s="16" t="s">
        <v>455</v>
      </c>
      <c r="B10" s="52"/>
      <c r="C10" s="77"/>
    </row>
    <row r="11" spans="1:3" ht="18" customHeight="1" x14ac:dyDescent="0.35">
      <c r="A11" s="16" t="s">
        <v>475</v>
      </c>
      <c r="B11" s="52"/>
      <c r="C11" s="77"/>
    </row>
    <row r="12" spans="1:3" ht="18" customHeight="1" x14ac:dyDescent="0.35">
      <c r="A12" s="16" t="s">
        <v>484</v>
      </c>
      <c r="B12" s="52"/>
      <c r="C12" s="77"/>
    </row>
    <row r="13" spans="1:3" ht="18" customHeight="1" x14ac:dyDescent="0.35">
      <c r="A13" s="16" t="s">
        <v>632</v>
      </c>
      <c r="B13" s="52"/>
      <c r="C13" s="77"/>
    </row>
    <row r="14" spans="1:3" ht="18" customHeight="1" thickBot="1" x14ac:dyDescent="0.4">
      <c r="A14" s="78" t="s">
        <v>633</v>
      </c>
      <c r="B14" s="79"/>
      <c r="C14" s="80"/>
    </row>
    <row r="15" spans="1:3" ht="8" customHeight="1" x14ac:dyDescent="0.35"/>
    <row r="16" spans="1:3" ht="18" customHeight="1" x14ac:dyDescent="0.35">
      <c r="A16" s="104" t="s">
        <v>634</v>
      </c>
      <c r="B16" s="99"/>
      <c r="C16" s="99"/>
    </row>
    <row r="17" spans="1:3" ht="18" customHeight="1" x14ac:dyDescent="0.35">
      <c r="A17" s="16" t="s">
        <v>509</v>
      </c>
      <c r="B17" s="52"/>
      <c r="C17" s="77"/>
    </row>
    <row r="18" spans="1:3" ht="18" customHeight="1" x14ac:dyDescent="0.35">
      <c r="A18" s="16" t="s">
        <v>635</v>
      </c>
      <c r="B18" s="52"/>
      <c r="C18" s="77"/>
    </row>
    <row r="19" spans="1:3" ht="18" customHeight="1" x14ac:dyDescent="0.35">
      <c r="A19" s="16" t="s">
        <v>422</v>
      </c>
      <c r="B19" s="52"/>
      <c r="C19" s="77"/>
    </row>
    <row r="20" spans="1:3" ht="18" customHeight="1" x14ac:dyDescent="0.35">
      <c r="A20" s="16" t="s">
        <v>435</v>
      </c>
      <c r="B20" s="52"/>
      <c r="C20" s="77"/>
    </row>
    <row r="21" spans="1:3" ht="18" customHeight="1" thickBot="1" x14ac:dyDescent="0.4">
      <c r="A21" s="78" t="s">
        <v>636</v>
      </c>
      <c r="B21" s="79"/>
      <c r="C21" s="80"/>
    </row>
    <row r="22" spans="1:3" ht="18" customHeight="1" x14ac:dyDescent="0.35">
      <c r="A22" s="81" t="s">
        <v>637</v>
      </c>
      <c r="B22" s="82"/>
      <c r="C22" s="83"/>
    </row>
    <row r="23" spans="1:3" ht="8" customHeight="1" x14ac:dyDescent="0.35"/>
    <row r="24" spans="1:3" ht="18" customHeight="1" x14ac:dyDescent="0.35">
      <c r="A24" s="104" t="s">
        <v>638</v>
      </c>
      <c r="B24" s="99"/>
      <c r="C24" s="99"/>
    </row>
    <row r="25" spans="1:3" ht="18" customHeight="1" x14ac:dyDescent="0.35">
      <c r="A25" s="16" t="s">
        <v>510</v>
      </c>
      <c r="B25" s="52"/>
      <c r="C25" s="77"/>
    </row>
    <row r="26" spans="1:3" ht="18" customHeight="1" x14ac:dyDescent="0.35">
      <c r="A26" s="16" t="s">
        <v>391</v>
      </c>
      <c r="B26" s="52"/>
      <c r="C26" s="77"/>
    </row>
    <row r="27" spans="1:3" ht="18" customHeight="1" x14ac:dyDescent="0.35">
      <c r="A27" s="16" t="s">
        <v>412</v>
      </c>
      <c r="B27" s="52"/>
      <c r="C27" s="77"/>
    </row>
    <row r="28" spans="1:3" ht="18" customHeight="1" x14ac:dyDescent="0.35">
      <c r="A28" s="16" t="s">
        <v>479</v>
      </c>
      <c r="B28" s="52"/>
      <c r="C28" s="77"/>
    </row>
    <row r="29" spans="1:3" ht="18" customHeight="1" x14ac:dyDescent="0.35">
      <c r="A29" s="16" t="s">
        <v>549</v>
      </c>
      <c r="B29" s="52"/>
      <c r="C29" s="77"/>
    </row>
    <row r="30" spans="1:3" ht="18" customHeight="1" x14ac:dyDescent="0.35">
      <c r="A30" s="16" t="s">
        <v>489</v>
      </c>
      <c r="B30" s="52"/>
      <c r="C30" s="77"/>
    </row>
    <row r="31" spans="1:3" ht="18" customHeight="1" x14ac:dyDescent="0.35">
      <c r="A31" s="16" t="s">
        <v>501</v>
      </c>
      <c r="B31" s="52"/>
      <c r="C31" s="77"/>
    </row>
    <row r="32" spans="1:3" ht="18" customHeight="1" x14ac:dyDescent="0.35">
      <c r="A32" s="16" t="s">
        <v>518</v>
      </c>
      <c r="B32" s="52"/>
      <c r="C32" s="77"/>
    </row>
    <row r="33" spans="1:3" ht="18" customHeight="1" x14ac:dyDescent="0.35">
      <c r="A33" s="16" t="s">
        <v>553</v>
      </c>
      <c r="B33" s="52"/>
      <c r="C33" s="77"/>
    </row>
    <row r="34" spans="1:3" ht="18" customHeight="1" thickBot="1" x14ac:dyDescent="0.4">
      <c r="A34" s="78" t="s">
        <v>639</v>
      </c>
      <c r="B34" s="79"/>
      <c r="C34" s="80"/>
    </row>
    <row r="35" spans="1:3" ht="8" customHeight="1" x14ac:dyDescent="0.35"/>
    <row r="36" spans="1:3" ht="18" customHeight="1" x14ac:dyDescent="0.35">
      <c r="A36" s="104" t="s">
        <v>640</v>
      </c>
      <c r="B36" s="99"/>
      <c r="C36" s="99"/>
    </row>
    <row r="37" spans="1:3" ht="18" customHeight="1" x14ac:dyDescent="0.35">
      <c r="A37" s="16" t="s">
        <v>525</v>
      </c>
      <c r="B37" s="52"/>
      <c r="C37" s="77"/>
    </row>
    <row r="38" spans="1:3" ht="18" customHeight="1" x14ac:dyDescent="0.35">
      <c r="A38" s="16" t="s">
        <v>529</v>
      </c>
      <c r="B38" s="52"/>
      <c r="C38" s="77"/>
    </row>
    <row r="39" spans="1:3" ht="18" customHeight="1" x14ac:dyDescent="0.35">
      <c r="A39" s="16" t="s">
        <v>533</v>
      </c>
      <c r="B39" s="52"/>
      <c r="C39" s="77"/>
    </row>
    <row r="40" spans="1:3" ht="18" customHeight="1" x14ac:dyDescent="0.35">
      <c r="A40" s="16" t="s">
        <v>537</v>
      </c>
      <c r="B40" s="52"/>
      <c r="C40" s="77"/>
    </row>
    <row r="41" spans="1:3" ht="18" customHeight="1" x14ac:dyDescent="0.35">
      <c r="A41" s="16" t="s">
        <v>541</v>
      </c>
      <c r="B41" s="52"/>
      <c r="C41" s="77"/>
    </row>
    <row r="42" spans="1:3" ht="18" customHeight="1" x14ac:dyDescent="0.35">
      <c r="A42" s="16" t="s">
        <v>545</v>
      </c>
      <c r="B42" s="52"/>
      <c r="C42" s="77"/>
    </row>
    <row r="43" spans="1:3" ht="18" customHeight="1" thickBot="1" x14ac:dyDescent="0.4">
      <c r="A43" s="78" t="s">
        <v>641</v>
      </c>
      <c r="B43" s="79"/>
      <c r="C43" s="80"/>
    </row>
    <row r="44" spans="1:3" ht="8" customHeight="1" x14ac:dyDescent="0.35"/>
    <row r="45" spans="1:3" ht="18" customHeight="1" x14ac:dyDescent="0.35">
      <c r="A45" s="104" t="s">
        <v>642</v>
      </c>
      <c r="B45" s="99"/>
      <c r="C45" s="99"/>
    </row>
    <row r="46" spans="1:3" ht="18" customHeight="1" x14ac:dyDescent="0.35">
      <c r="A46" s="16" t="s">
        <v>557</v>
      </c>
      <c r="B46" s="52"/>
      <c r="C46" s="77"/>
    </row>
    <row r="47" spans="1:3" ht="18" customHeight="1" x14ac:dyDescent="0.35">
      <c r="A47" s="16" t="s">
        <v>450</v>
      </c>
      <c r="B47" s="52"/>
      <c r="C47" s="77"/>
    </row>
    <row r="48" spans="1:3" ht="18" customHeight="1" thickBot="1" x14ac:dyDescent="0.4">
      <c r="A48" s="78" t="s">
        <v>643</v>
      </c>
      <c r="B48" s="79"/>
      <c r="C48" s="80"/>
    </row>
    <row r="49" spans="1:3" ht="8" customHeight="1" x14ac:dyDescent="0.35"/>
    <row r="50" spans="1:3" ht="18" customHeight="1" thickBot="1" x14ac:dyDescent="0.4">
      <c r="A50" s="78" t="s">
        <v>644</v>
      </c>
      <c r="B50" s="79"/>
      <c r="C50" s="80"/>
    </row>
    <row r="51" spans="1:3" ht="8" customHeight="1" x14ac:dyDescent="0.35"/>
    <row r="52" spans="1:3" ht="18" customHeight="1" x14ac:dyDescent="0.35">
      <c r="A52" s="98" t="s">
        <v>645</v>
      </c>
      <c r="B52" s="84"/>
      <c r="C52" s="85"/>
    </row>
    <row r="53" spans="1:3" ht="18" customHeight="1" x14ac:dyDescent="0.35">
      <c r="A53" s="16" t="s">
        <v>646</v>
      </c>
      <c r="B53" s="52"/>
      <c r="C53" s="77"/>
    </row>
    <row r="54" spans="1:3" ht="18" customHeight="1" x14ac:dyDescent="0.35">
      <c r="A54" s="115" t="s">
        <v>647</v>
      </c>
      <c r="B54" s="86"/>
      <c r="C54" s="87"/>
    </row>
  </sheetData>
  <mergeCells count="10">
    <mergeCell ref="A54"/>
    <mergeCell ref="A3:C3"/>
    <mergeCell ref="A52"/>
    <mergeCell ref="A4:C4"/>
    <mergeCell ref="A24:C24"/>
    <mergeCell ref="A16:C16"/>
    <mergeCell ref="A36:C36"/>
    <mergeCell ref="A45:C45"/>
    <mergeCell ref="A2:C2"/>
    <mergeCell ref="A6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E32"/>
  <sheetViews>
    <sheetView showGridLines="0" tabSelected="1" topLeftCell="A20" workbookViewId="0"/>
  </sheetViews>
  <sheetFormatPr defaultRowHeight="14.5" x14ac:dyDescent="0.35"/>
  <cols>
    <col min="1" max="1" width="36" customWidth="1"/>
    <col min="2" max="2" width="18" customWidth="1"/>
    <col min="3" max="3" width="4" customWidth="1"/>
    <col min="4" max="4" width="36" customWidth="1"/>
    <col min="5" max="5" width="18" customWidth="1"/>
  </cols>
  <sheetData>
    <row r="2" spans="1:5" ht="18" x14ac:dyDescent="0.35">
      <c r="A2" s="107" t="s">
        <v>0</v>
      </c>
      <c r="B2" s="99"/>
      <c r="C2" s="99"/>
      <c r="D2" s="99"/>
      <c r="E2" s="99"/>
    </row>
    <row r="3" spans="1:5" x14ac:dyDescent="0.35">
      <c r="A3" s="100" t="s">
        <v>648</v>
      </c>
      <c r="B3" s="106"/>
      <c r="C3" s="106"/>
      <c r="D3" s="106"/>
      <c r="E3" s="106"/>
    </row>
    <row r="4" spans="1:5" x14ac:dyDescent="0.35">
      <c r="A4" s="117" t="s">
        <v>649</v>
      </c>
      <c r="B4" s="99"/>
      <c r="C4" s="99"/>
      <c r="D4" s="99"/>
      <c r="E4" s="99"/>
    </row>
    <row r="5" spans="1:5" x14ac:dyDescent="0.35">
      <c r="A5" s="88" t="s">
        <v>650</v>
      </c>
      <c r="B5" s="19"/>
      <c r="C5" s="89"/>
      <c r="D5" s="88" t="s">
        <v>651</v>
      </c>
      <c r="E5" s="19"/>
    </row>
    <row r="6" spans="1:5" ht="16" customHeight="1" x14ac:dyDescent="0.35">
      <c r="A6" s="90" t="s">
        <v>652</v>
      </c>
      <c r="B6" s="91"/>
      <c r="C6" s="92"/>
      <c r="D6" s="90" t="s">
        <v>653</v>
      </c>
      <c r="E6" s="91"/>
    </row>
    <row r="7" spans="1:5" ht="16" customHeight="1" x14ac:dyDescent="0.35">
      <c r="A7" s="16" t="s">
        <v>349</v>
      </c>
      <c r="B7" s="65"/>
      <c r="C7" s="92"/>
      <c r="D7" s="16" t="s">
        <v>369</v>
      </c>
      <c r="E7" s="65"/>
    </row>
    <row r="8" spans="1:5" ht="16" customHeight="1" x14ac:dyDescent="0.35">
      <c r="A8" s="16" t="s">
        <v>602</v>
      </c>
      <c r="B8" s="65"/>
      <c r="C8" s="92"/>
      <c r="D8" s="16" t="s">
        <v>370</v>
      </c>
      <c r="E8" s="65"/>
    </row>
    <row r="9" spans="1:5" ht="16" customHeight="1" x14ac:dyDescent="0.35">
      <c r="A9" s="16" t="s">
        <v>603</v>
      </c>
      <c r="B9" s="65"/>
      <c r="C9" s="92"/>
      <c r="D9" s="16" t="s">
        <v>371</v>
      </c>
      <c r="E9" s="65"/>
    </row>
    <row r="10" spans="1:5" ht="16" customHeight="1" x14ac:dyDescent="0.35">
      <c r="A10" s="16" t="s">
        <v>654</v>
      </c>
      <c r="B10" s="65"/>
      <c r="C10" s="92"/>
      <c r="D10" s="16" t="s">
        <v>387</v>
      </c>
      <c r="E10" s="65"/>
    </row>
    <row r="11" spans="1:5" ht="16" customHeight="1" x14ac:dyDescent="0.35">
      <c r="A11" s="16" t="s">
        <v>354</v>
      </c>
      <c r="B11" s="65"/>
      <c r="C11" s="92"/>
      <c r="D11" s="16" t="s">
        <v>372</v>
      </c>
      <c r="E11" s="65"/>
    </row>
    <row r="12" spans="1:5" ht="16" customHeight="1" x14ac:dyDescent="0.35">
      <c r="A12" s="16" t="s">
        <v>355</v>
      </c>
      <c r="B12" s="65"/>
      <c r="C12" s="92"/>
      <c r="D12" s="28" t="s">
        <v>655</v>
      </c>
      <c r="E12" s="79"/>
    </row>
    <row r="13" spans="1:5" ht="16" customHeight="1" x14ac:dyDescent="0.35">
      <c r="A13" s="16" t="s">
        <v>356</v>
      </c>
      <c r="B13" s="65"/>
      <c r="C13" s="92"/>
      <c r="D13" s="93"/>
    </row>
    <row r="14" spans="1:5" ht="16" customHeight="1" x14ac:dyDescent="0.35">
      <c r="A14" s="16" t="s">
        <v>399</v>
      </c>
      <c r="B14" s="65"/>
      <c r="C14" s="92"/>
      <c r="D14" s="90" t="s">
        <v>656</v>
      </c>
      <c r="E14" s="91"/>
    </row>
    <row r="15" spans="1:5" ht="16" customHeight="1" x14ac:dyDescent="0.35">
      <c r="A15" s="28" t="s">
        <v>657</v>
      </c>
      <c r="B15" s="79"/>
      <c r="C15" s="92"/>
      <c r="D15" s="16" t="s">
        <v>373</v>
      </c>
      <c r="E15" s="65"/>
    </row>
    <row r="16" spans="1:5" ht="8" customHeight="1" x14ac:dyDescent="0.35">
      <c r="A16" s="93"/>
      <c r="C16" s="92"/>
      <c r="D16" s="28" t="s">
        <v>658</v>
      </c>
      <c r="E16" s="79"/>
    </row>
    <row r="17" spans="1:5" ht="16" customHeight="1" x14ac:dyDescent="0.35">
      <c r="A17" s="90" t="s">
        <v>659</v>
      </c>
      <c r="B17" s="91"/>
      <c r="C17" s="92"/>
      <c r="D17" s="93"/>
    </row>
    <row r="18" spans="1:5" ht="16" customHeight="1" x14ac:dyDescent="0.35">
      <c r="A18" s="16" t="s">
        <v>357</v>
      </c>
      <c r="B18" s="65"/>
      <c r="C18" s="92"/>
      <c r="D18" s="28" t="s">
        <v>660</v>
      </c>
      <c r="E18" s="79"/>
    </row>
    <row r="19" spans="1:5" ht="16" customHeight="1" x14ac:dyDescent="0.35">
      <c r="A19" s="16" t="s">
        <v>661</v>
      </c>
      <c r="B19" s="65"/>
      <c r="C19" s="92"/>
      <c r="D19" s="93"/>
    </row>
    <row r="20" spans="1:5" ht="16" customHeight="1" x14ac:dyDescent="0.35">
      <c r="A20" s="16" t="s">
        <v>359</v>
      </c>
      <c r="B20" s="65"/>
      <c r="C20" s="92"/>
      <c r="D20" s="90" t="s">
        <v>662</v>
      </c>
      <c r="E20" s="91"/>
    </row>
    <row r="21" spans="1:5" ht="16" customHeight="1" x14ac:dyDescent="0.35">
      <c r="A21" s="16" t="s">
        <v>661</v>
      </c>
      <c r="B21" s="65"/>
      <c r="C21" s="92"/>
      <c r="D21" s="16" t="s">
        <v>374</v>
      </c>
      <c r="E21" s="65"/>
    </row>
    <row r="22" spans="1:5" ht="16" customHeight="1" x14ac:dyDescent="0.35">
      <c r="A22" s="16" t="s">
        <v>361</v>
      </c>
      <c r="B22" s="65"/>
      <c r="C22" s="92"/>
      <c r="D22" s="16" t="s">
        <v>375</v>
      </c>
      <c r="E22" s="65"/>
    </row>
    <row r="23" spans="1:5" ht="16" customHeight="1" x14ac:dyDescent="0.35">
      <c r="A23" s="16" t="s">
        <v>661</v>
      </c>
      <c r="B23" s="65"/>
      <c r="C23" s="92"/>
      <c r="D23" s="16" t="s">
        <v>663</v>
      </c>
      <c r="E23" s="65"/>
    </row>
    <row r="24" spans="1:5" ht="16" customHeight="1" x14ac:dyDescent="0.35">
      <c r="A24" s="16" t="s">
        <v>363</v>
      </c>
      <c r="B24" s="65"/>
      <c r="C24" s="92"/>
      <c r="D24" s="28" t="s">
        <v>664</v>
      </c>
      <c r="E24" s="79"/>
    </row>
    <row r="25" spans="1:5" ht="16" customHeight="1" x14ac:dyDescent="0.35">
      <c r="A25" s="16" t="s">
        <v>661</v>
      </c>
      <c r="B25" s="65"/>
      <c r="C25" s="92"/>
      <c r="D25" s="93"/>
    </row>
    <row r="26" spans="1:5" ht="16" customHeight="1" x14ac:dyDescent="0.35">
      <c r="A26" s="16" t="s">
        <v>607</v>
      </c>
      <c r="B26" s="65"/>
      <c r="C26" s="92"/>
      <c r="D26" s="94" t="s">
        <v>665</v>
      </c>
      <c r="E26" s="85"/>
    </row>
    <row r="27" spans="1:5" ht="16" customHeight="1" x14ac:dyDescent="0.35">
      <c r="A27" s="16" t="s">
        <v>661</v>
      </c>
      <c r="B27" s="65"/>
      <c r="C27" s="92"/>
      <c r="D27" s="93"/>
    </row>
    <row r="28" spans="1:5" ht="16" customHeight="1" x14ac:dyDescent="0.35">
      <c r="A28" s="16" t="s">
        <v>367</v>
      </c>
      <c r="B28" s="65"/>
      <c r="C28" s="92"/>
      <c r="D28" s="93"/>
    </row>
    <row r="29" spans="1:5" ht="16" customHeight="1" x14ac:dyDescent="0.35">
      <c r="A29" s="16" t="s">
        <v>661</v>
      </c>
      <c r="B29" s="65"/>
      <c r="C29" s="92"/>
      <c r="D29" s="93"/>
    </row>
    <row r="30" spans="1:5" ht="16" customHeight="1" x14ac:dyDescent="0.35">
      <c r="A30" s="28" t="s">
        <v>666</v>
      </c>
      <c r="B30" s="79"/>
      <c r="C30" s="92"/>
      <c r="D30" s="93"/>
    </row>
    <row r="31" spans="1:5" ht="8" customHeight="1" x14ac:dyDescent="0.35">
      <c r="A31" s="93"/>
      <c r="C31" s="92"/>
      <c r="D31" s="93"/>
    </row>
    <row r="32" spans="1:5" ht="16" customHeight="1" x14ac:dyDescent="0.35">
      <c r="A32" s="94" t="s">
        <v>667</v>
      </c>
      <c r="B32" s="85"/>
      <c r="C32" s="92"/>
      <c r="D32" s="93"/>
    </row>
  </sheetData>
  <mergeCells count="3">
    <mergeCell ref="A2:E2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PETUNJUK</vt:lpstr>
      <vt:lpstr>0. Profil Perusahaan</vt:lpstr>
      <vt:lpstr>1. Kode Akun</vt:lpstr>
      <vt:lpstr>2. Neraca Saldo Awal</vt:lpstr>
      <vt:lpstr>3. Jurnal Umum Jan 2025</vt:lpstr>
      <vt:lpstr>4. Jurnal Penyesuaian Jan</vt:lpstr>
      <vt:lpstr>5. Neraca Saldo Sblm Penyesuaia</vt:lpstr>
      <vt:lpstr>6. Template Buku Besar</vt:lpstr>
      <vt:lpstr>7. Neraca Lajur Jan 2025</vt:lpstr>
      <vt:lpstr>8. Laporan L-R Jan 2025</vt:lpstr>
      <vt:lpstr>9. Neraca Jan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novita ardana</cp:lastModifiedBy>
  <dcterms:created xsi:type="dcterms:W3CDTF">2026-05-21T03:37:25Z</dcterms:created>
  <dcterms:modified xsi:type="dcterms:W3CDTF">2026-05-28T02:44:11Z</dcterms:modified>
</cp:coreProperties>
</file>